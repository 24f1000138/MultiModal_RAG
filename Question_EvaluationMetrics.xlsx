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ngai Laptop\Downloads\RAG_2\"/>
    </mc:Choice>
  </mc:AlternateContent>
  <xr:revisionPtr revIDLastSave="0" documentId="13_ncr:1_{DB593113-757F-4113-8B17-B587CC20EAB1}" xr6:coauthVersionLast="47" xr6:coauthVersionMax="47" xr10:uidLastSave="{00000000-0000-0000-0000-000000000000}"/>
  <bookViews>
    <workbookView xWindow="-98" yWindow="-98" windowWidth="19396" windowHeight="11475" xr2:uid="{25C87F36-1D1F-40C9-8B1E-292827CDE63E}"/>
  </bookViews>
  <sheets>
    <sheet name="Sheet1" sheetId="1" r:id="rId1"/>
  </sheets>
  <definedNames>
    <definedName name="a">Sheet1!$XFD$89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" i="1" l="1"/>
  <c r="F88" i="1"/>
  <c r="F89" i="1"/>
  <c r="F90" i="1"/>
  <c r="F91" i="1"/>
  <c r="F82" i="1"/>
  <c r="F83" i="1"/>
  <c r="F84" i="1"/>
  <c r="F85" i="1"/>
  <c r="F86" i="1"/>
  <c r="F71" i="1"/>
  <c r="F72" i="1"/>
  <c r="F73" i="1"/>
  <c r="F74" i="1"/>
  <c r="F75" i="1"/>
  <c r="F76" i="1"/>
  <c r="F77" i="1"/>
  <c r="F78" i="1"/>
  <c r="F79" i="1"/>
  <c r="F80" i="1"/>
  <c r="F81" i="1"/>
  <c r="F62" i="1"/>
  <c r="F63" i="1"/>
  <c r="F64" i="1"/>
  <c r="F65" i="1"/>
  <c r="F66" i="1"/>
  <c r="F67" i="1"/>
  <c r="F68" i="1"/>
  <c r="F69" i="1"/>
  <c r="F70" i="1"/>
  <c r="F61" i="1"/>
  <c r="F52" i="1"/>
  <c r="F53" i="1"/>
  <c r="F54" i="1"/>
  <c r="F55" i="1"/>
  <c r="F56" i="1"/>
  <c r="F57" i="1"/>
  <c r="F58" i="1"/>
  <c r="F59" i="1"/>
  <c r="F60" i="1"/>
  <c r="F43" i="1"/>
  <c r="F44" i="1"/>
  <c r="F45" i="1"/>
  <c r="F46" i="1"/>
  <c r="F47" i="1"/>
  <c r="F48" i="1"/>
  <c r="F49" i="1"/>
  <c r="F50" i="1"/>
  <c r="F51" i="1"/>
  <c r="F32" i="1"/>
  <c r="F33" i="1"/>
  <c r="F34" i="1"/>
  <c r="F35" i="1"/>
  <c r="F36" i="1"/>
  <c r="F37" i="1"/>
  <c r="F38" i="1"/>
  <c r="F39" i="1"/>
  <c r="F40" i="1"/>
  <c r="F41" i="1"/>
  <c r="F4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<sst xmlns="http://schemas.openxmlformats.org/spreadsheetml/2006/main" count="146" uniqueCount="46">
  <si>
    <t>Question</t>
  </si>
  <si>
    <t>Top k</t>
  </si>
  <si>
    <t>Retrieval Time</t>
  </si>
  <si>
    <t>Re-ranking Time</t>
  </si>
  <si>
    <t>LLM Generation Time</t>
  </si>
  <si>
    <t>Total Time</t>
  </si>
  <si>
    <t>Answer Quality</t>
  </si>
  <si>
    <t>What are the three major topics covered in Module 4?</t>
  </si>
  <si>
    <t>Why is data privacy important in IoT systems?</t>
  </si>
  <si>
    <t>Name three data anonymization techniques discussed in the module.</t>
  </si>
  <si>
    <t>What is k-anonymity?</t>
  </si>
  <si>
    <t>What are quasi-identifiers?</t>
  </si>
  <si>
    <t>Which attribute is considered sensitive in the medical dataset example?</t>
  </si>
  <si>
    <t>What is the purpose of data masking?</t>
  </si>
  <si>
    <t>Give one application of blockchain in IoT.</t>
  </si>
  <si>
    <t>What is the main objective of pseudonymization?</t>
  </si>
  <si>
    <t>Explain the four steps required to achieve k-anonymity.</t>
  </si>
  <si>
    <t>In the example dataset, which fields are quasi-identifiers and which field is sensitive?</t>
  </si>
  <si>
    <t>What is a homogeneity attack, and why does it affect k-anonymity?</t>
  </si>
  <si>
    <t>How does l-diversity overcome the weakness of k-anonymity?</t>
  </si>
  <si>
    <t>Describe the steps involved in achieving l-diversity.</t>
  </si>
  <si>
    <t>Why does ECC require much smaller key sizes than RSA while offering equivalent security?</t>
  </si>
  <si>
    <t>Explain how blockchain helps prevent unauthorized access in IoT.</t>
  </si>
  <si>
    <t>Why is differential privacy useful for protecting IoT data?</t>
  </si>
  <si>
    <t>What is the role of smart contracts in blockchain-based IoT systems?</t>
  </si>
  <si>
    <t>Compare k-anonymity, l-diversity, and t-closeness in terms of objective,weakness addressed,remaining limitation.</t>
  </si>
  <si>
    <t>Using the medical dataset example, explain how a linking attack can reveal a person's disease even after k-anonymization.</t>
  </si>
  <si>
    <t>In the 3-anonymized dataset, why is the group containing only Heart disease vulnerable, and how does l-diversity fix this problem?</t>
  </si>
  <si>
    <t>Explain why l-diversity may still fail when the overall distribution of sensitive attributes is highly skewed.</t>
  </si>
  <si>
    <t>The PDF gives the global disease distribution as:Heart = 50%, Stomach = 33.3%, Flu = 16.7%
Explain why a group containing 100% Heart disease violates t-closeness.</t>
  </si>
  <si>
    <t>In the t-closeness example, why are age and area code generalized before checking disease distribution?</t>
  </si>
  <si>
    <t>Explain the complete workflow of achieving t-closeness starting from the original dataset until the final adjusted groups.</t>
  </si>
  <si>
    <t>Compare the roles of anonymization techniques (k-anonymity, l-diversity, t-closeness) and cryptographic techniques (ECC, Blockchain). How do they complement each other in IoT security?</t>
  </si>
  <si>
    <t>Design a privacy-preserving approach for a smart healthcare IoT system using: k-anonymity,l-diversity, ECC,blockchain.Explain the role of each technique.</t>
  </si>
  <si>
    <t>A smart hospital wants to publish patient records for research while also ensuring secure communication between IoT medical devices. Based on the module, recommend an end-to-end privacy and security solution using anonymization, ECC, and blockchain, justifying why each technique is needed.</t>
  </si>
  <si>
    <t>Compare generalization and suppression using examples from the PDF</t>
  </si>
  <si>
    <t>Why is ECC preferred over RSA for IoT devices?</t>
  </si>
  <si>
    <t>Average of Answer Quality</t>
  </si>
  <si>
    <t>Row Labels</t>
  </si>
  <si>
    <t>Grand Total</t>
  </si>
  <si>
    <t>Average of Total Time</t>
  </si>
  <si>
    <t>Average of Retrieval Time</t>
  </si>
  <si>
    <t>Average of Re-ranking Time</t>
  </si>
  <si>
    <t>Average of LLM Generation Time</t>
  </si>
  <si>
    <t>Column Labels</t>
  </si>
  <si>
    <t>Question-wise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</si>
</sst>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 indent="1"/>
    </xf>
    <xf numFmtId="0" fontId="3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[Question_EvaluationMetrics.xlsx]Sheet1!PivotTable3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ANSWER QUALITY vs TOP-K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Sheet1!$M$7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Sheet1!$L$8:$L$11</c:f>
              <c:strCach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strCache>
            </c:strRef>
          </c:cat>
          <c:val>
            <c:numRef>
              <c:f>Sheet1!$M$8:$M$11</c:f>
              <c:numCache>
                <c:formatCode>General</c:formatCode>
                <c:ptCount val="3"/>
                <c:pt idx="0">
                  <c:v>88.333333333333329</c:v>
                </c:pt>
                <c:pt idx="1">
                  <c:v>95.13333333333334</c:v>
                </c:pt>
                <c:pt idx="2">
                  <c:v>95.36666666666666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45-4901-8C65-2A5E64CCF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243792"/>
        <c:axId val="1643252912"/>
      </c:lineChart>
      <c:catAx>
        <c:axId val="164324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52912"/>
        <c:crosses val="autoZero"/>
        <c:auto val="1"/>
        <c:lblAlgn val="ctr"/>
        <c:lblOffset val="100"/>
        <c:noMultiLvlLbl val="0"/>
      </c:catAx>
      <c:valAx>
        <c:axId val="1643252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4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[Question_EvaluationMetrics.xlsx]Sheet1!PivotTable4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Sheet1!$M$26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Sheet1!$L$27:$L$30</c:f>
              <c:strCach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strCache>
            </c:strRef>
          </c:cat>
          <c:val>
            <c:numRef>
              <c:f>Sheet1!$M$27:$M$30</c:f>
              <c:numCache>
                <c:formatCode>General</c:formatCode>
                <c:ptCount val="3"/>
                <c:pt idx="0">
                  <c:v>27.17012020716955</c:v>
                </c:pt>
                <c:pt idx="1">
                  <c:v>40.625858426094013</c:v>
                </c:pt>
                <c:pt idx="2">
                  <c:v>36.062337708473144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D-416E-AE87-89AC031A4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244752"/>
        <c:axId val="1643261072"/>
      </c:lineChart>
      <c:catAx>
        <c:axId val="164324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61072"/>
        <c:crosses val="autoZero"/>
        <c:auto val="1"/>
        <c:lblAlgn val="ctr"/>
        <c:lblOffset val="100"/>
        <c:noMultiLvlLbl val="0"/>
      </c:catAx>
      <c:valAx>
        <c:axId val="164326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4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[Question_EvaluationMetrics.xlsx]Sheet1!PivotTable5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Sheet1!$K$61</c:f>
              <c:strCache>
                <c:ptCount val="1"/>
                <c:pt idx="0">
                  <c:v>Average of Retrieval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Sheet1!$J$62:$J$65</c:f>
              <c:strCach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strCache>
            </c:strRef>
          </c:cat>
          <c:val>
            <c:numRef>
              <c:f>Sheet1!$K$62:$K$65</c:f>
              <c:numCache>
                <c:formatCode>General</c:formatCode>
                <c:ptCount val="3"/>
                <c:pt idx="0">
                  <c:v>0.40317956576639802</c:v>
                </c:pt>
                <c:pt idx="1">
                  <c:v>0.36351611614227236</c:v>
                </c:pt>
                <c:pt idx="2">
                  <c:v>0.48108978271484332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2-4BA0-AA52-C081EA10AA69}"/>
            </c:ext>
          </c:extLst>
        </c:ser>
        <c:ser>
          <c:idx val="1"/>
          <c:order val="1"/>
          <c:tx>
            <c:strRef>
              <c:f>Sheet1!$L$61</c:f>
              <c:strCache>
                <c:ptCount val="1"/>
                <c:pt idx="0">
                  <c:v>Average of Re-ranking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Sheet1!$J$62:$J$65</c:f>
              <c:strCach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strCache>
            </c:strRef>
          </c:cat>
          <c:val>
            <c:numRef>
              <c:f>Sheet1!$L$62:$L$65</c:f>
              <c:numCache>
                <c:formatCode>General</c:formatCode>
                <c:ptCount val="3"/>
                <c:pt idx="0">
                  <c:v>0.9645358165105169</c:v>
                </c:pt>
                <c:pt idx="1">
                  <c:v>2.5024745702743503</c:v>
                </c:pt>
                <c:pt idx="2">
                  <c:v>0.90431159337361477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2-4BA0-AA52-C081EA10AA69}"/>
            </c:ext>
          </c:extLst>
        </c:ser>
        <c:ser>
          <c:idx val="2"/>
          <c:order val="2"/>
          <c:tx>
            <c:strRef>
              <c:f>Sheet1!$M$61</c:f>
              <c:strCache>
                <c:ptCount val="1"/>
                <c:pt idx="0">
                  <c:v>Average of LLM Generation Time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Sheet1!$J$62:$J$65</c:f>
              <c:strCach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strCache>
            </c:strRef>
          </c:cat>
          <c:val>
            <c:numRef>
              <c:f>Sheet1!$M$62:$M$65</c:f>
              <c:numCache>
                <c:formatCode>General</c:formatCode>
                <c:ptCount val="3"/>
                <c:pt idx="0">
                  <c:v>25.802404824892633</c:v>
                </c:pt>
                <c:pt idx="1">
                  <c:v>37.759867739677382</c:v>
                </c:pt>
                <c:pt idx="2">
                  <c:v>34.676936332384692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2-4BA0-AA52-C081EA10A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3266352"/>
        <c:axId val="1643255312"/>
      </c:barChart>
      <c:catAx>
        <c:axId val="164326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55312"/>
        <c:crosses val="autoZero"/>
        <c:auto val="1"/>
        <c:lblAlgn val="ctr"/>
        <c:lblOffset val="100"/>
        <c:noMultiLvlLbl val="0"/>
      </c:catAx>
      <c:valAx>
        <c:axId val="16432553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6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Quality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Top_3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81F-4E34-8838-6531EA4456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Top_5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81F-4E34-8838-6531EA4456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Top_4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81F-4E34-8838-6531EA4456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Sheet1!$L$45:$L$47</c:f>
              <c:numCache>
                <c:formatCode>General</c:formatCode>
                <c:ptCount val="3"/>
                <c:pt idx="0">
                  <c:v>27.17012020716955</c:v>
                </c:pt>
                <c:pt idx="1">
                  <c:v>40.625858426094013</c:v>
                </c:pt>
                <c:pt idx="2">
                  <c:v>36.062337708473144</c:v>
                </c:pt>
              </c:numCache>
            </c:numRef>
          </c:xVal>
          <c:yVal>
            <c:numRef>
              <c:f>Sheet1!$M$45:$M$47</c:f>
              <c:numCache>
                <c:formatCode>General</c:formatCode>
                <c:ptCount val="3"/>
                <c:pt idx="0">
                  <c:v>88.333333333333329</c:v>
                </c:pt>
                <c:pt idx="1">
                  <c:v>95.13333333333334</c:v>
                </c:pt>
                <c:pt idx="2">
                  <c:v>95.36666666666666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1F-4E34-8838-6531EA4456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42576304"/>
        <c:axId val="1642577264"/>
      </c:scatterChart>
      <c:valAx>
        <c:axId val="164257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577264"/>
        <c:crosses val="autoZero"/>
        <c:crossBetween val="midCat"/>
      </c:valAx>
      <c:valAx>
        <c:axId val="164257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57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[Question_EvaluationMetrics.xlsx]Sheet1!PivotTable7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Sheet1!$J$79:$J$80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Sheet1!$I$81:$I$111</c:f>
              <c:strCache>
                <c:ptCount val="30"/>
                <c:pt idx="0">
                  <c:v>A smart hospital wants to publish patient records for research while also ensuring secure communication between IoT medical devices. Based on the module, recommend an end-to-end privacy and security solution using anonymization, ECC, and blockchain, justif</c:v>
                </c:pt>
                <c:pt idx="1">
                  <c:v>Compare generalization and suppression using examples from the PDF</c:v>
                </c:pt>
                <c:pt idx="2">
                  <c:v>Compare k-anonymity, l-diversity, and t-closeness in terms of objective,weakness addressed,remaining limitation.</c:v>
                </c:pt>
                <c:pt idx="3">
                  <c:v>Compare the roles of anonymization techniques (k-anonymity, l-diversity, t-closeness) and cryptographic techniques (ECC, Blockchain). How do they complement each other in IoT security?</c:v>
                </c:pt>
                <c:pt idx="4">
                  <c:v>Describe the steps involved in achieving l-diversity.</c:v>
                </c:pt>
                <c:pt idx="5">
                  <c:v>Design a privacy-preserving approach for a smart healthcare IoT system using: k-anonymity,l-diversity, ECC,blockchain.Explain the role of each technique.</c:v>
                </c:pt>
                <c:pt idx="6">
                  <c:v>Explain how blockchain helps prevent unauthorized access in IoT.</c:v>
                </c:pt>
                <c:pt idx="7">
                  <c:v>Explain the complete workflow of achieving t-closeness starting from the original dataset until the final adjusted groups.</c:v>
                </c:pt>
                <c:pt idx="8">
                  <c:v>Explain the four steps required to achieve k-anonymity.</c:v>
                </c:pt>
                <c:pt idx="9">
                  <c:v>Explain why l-diversity may still fail when the overall distribution of sensitive attributes is highly skewed.</c:v>
                </c:pt>
                <c:pt idx="10">
                  <c:v>Give one application of blockchain in IoT.</c:v>
                </c:pt>
                <c:pt idx="11">
                  <c:v>How does l-diversity overcome the weakness of k-anonymity?</c:v>
                </c:pt>
                <c:pt idx="12">
                  <c:v>In the 3-anonymized dataset, why is the group containing only Heart disease vulnerable, and how does l-diversity fix this problem?</c:v>
                </c:pt>
                <c:pt idx="13">
                  <c:v>In the example dataset, which fields are quasi-identifiers and which field is sensitive?</c:v>
                </c:pt>
                <c:pt idx="14">
                  <c:v>In the t-closeness example, why are age and area code generalized before checking disease distribution?</c:v>
                </c:pt>
                <c:pt idx="15">
                  <c:v>Name three data anonymization techniques discussed in the module.</c:v>
                </c:pt>
                <c:pt idx="16">
                  <c:v>The PDF gives the global disease distribution as:Heart = 50%, Stomach = 33.3%, Flu = 16.7%
Explain why a group containing 100% Heart disease violates t-closeness.</c:v>
                </c:pt>
                <c:pt idx="17">
                  <c:v>Using the medical dataset example, explain how a linking attack can reveal a person's disease even after k-anonymization.</c:v>
                </c:pt>
                <c:pt idx="18">
                  <c:v>What are quasi-identifiers?</c:v>
                </c:pt>
                <c:pt idx="19">
                  <c:v>What are the three major topics covered in Module 4?</c:v>
                </c:pt>
                <c:pt idx="20">
                  <c:v>What is a homogeneity attack, and why does it affect k-anonymity?</c:v>
                </c:pt>
                <c:pt idx="21">
                  <c:v>What is k-anonymity?</c:v>
                </c:pt>
                <c:pt idx="22">
                  <c:v>What is the main objective of pseudonymization?</c:v>
                </c:pt>
                <c:pt idx="23">
                  <c:v>What is the purpose of data masking?</c:v>
                </c:pt>
                <c:pt idx="24">
                  <c:v>What is the role of smart contracts in blockchain-based IoT systems?</c:v>
                </c:pt>
                <c:pt idx="25">
                  <c:v>Which attribute is considered sensitive in the medical dataset example?</c:v>
                </c:pt>
                <c:pt idx="26">
                  <c:v>Why does ECC require much smaller key sizes than RSA while offering equivalent security?</c:v>
                </c:pt>
                <c:pt idx="27">
                  <c:v>Why is data privacy important in IoT systems?</c:v>
                </c:pt>
                <c:pt idx="28">
                  <c:v>Why is differential privacy useful for protecting IoT data?</c:v>
                </c:pt>
                <c:pt idx="29">
                  <c:v>Why is ECC preferred over RSA for IoT devices?</c:v>
                </c:pt>
              </c:strCache>
            </c:strRef>
          </c:cat>
          <c:val>
            <c:numRef>
              <c:f>Sheet1!$J$81:$J$111</c:f>
              <c:numCache>
                <c:formatCode>General</c:formatCode>
                <c:ptCount val="30"/>
                <c:pt idx="0">
                  <c:v>98</c:v>
                </c:pt>
                <c:pt idx="1">
                  <c:v>93</c:v>
                </c:pt>
                <c:pt idx="2">
                  <c:v>82</c:v>
                </c:pt>
                <c:pt idx="3">
                  <c:v>99</c:v>
                </c:pt>
                <c:pt idx="4">
                  <c:v>99</c:v>
                </c:pt>
                <c:pt idx="5">
                  <c:v>78</c:v>
                </c:pt>
                <c:pt idx="6">
                  <c:v>81</c:v>
                </c:pt>
                <c:pt idx="7">
                  <c:v>78</c:v>
                </c:pt>
                <c:pt idx="8">
                  <c:v>82</c:v>
                </c:pt>
                <c:pt idx="9">
                  <c:v>97</c:v>
                </c:pt>
                <c:pt idx="10">
                  <c:v>100</c:v>
                </c:pt>
                <c:pt idx="11">
                  <c:v>94</c:v>
                </c:pt>
                <c:pt idx="12">
                  <c:v>96</c:v>
                </c:pt>
                <c:pt idx="13">
                  <c:v>99</c:v>
                </c:pt>
                <c:pt idx="14">
                  <c:v>80</c:v>
                </c:pt>
                <c:pt idx="15">
                  <c:v>98</c:v>
                </c:pt>
                <c:pt idx="16">
                  <c:v>87</c:v>
                </c:pt>
                <c:pt idx="17">
                  <c:v>97</c:v>
                </c:pt>
                <c:pt idx="18">
                  <c:v>97</c:v>
                </c:pt>
                <c:pt idx="19">
                  <c:v>14</c:v>
                </c:pt>
                <c:pt idx="20">
                  <c:v>92</c:v>
                </c:pt>
                <c:pt idx="21">
                  <c:v>100</c:v>
                </c:pt>
                <c:pt idx="22">
                  <c:v>99</c:v>
                </c:pt>
                <c:pt idx="23">
                  <c:v>96</c:v>
                </c:pt>
                <c:pt idx="24">
                  <c:v>98</c:v>
                </c:pt>
                <c:pt idx="25">
                  <c:v>100</c:v>
                </c:pt>
                <c:pt idx="26">
                  <c:v>98</c:v>
                </c:pt>
                <c:pt idx="27">
                  <c:v>96</c:v>
                </c:pt>
                <c:pt idx="28">
                  <c:v>23</c:v>
                </c:pt>
                <c:pt idx="2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8-4163-AD59-5D2B4F025535}"/>
            </c:ext>
          </c:extLst>
        </c:ser>
        <c:ser>
          <c:idx val="1"/>
          <c:order val="1"/>
          <c:tx>
            <c:strRef>
              <c:f>Sheet1!$K$79:$K$80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Sheet1!$I$81:$I$111</c:f>
              <c:strCache>
                <c:ptCount val="30"/>
                <c:pt idx="0">
                  <c:v>A smart hospital wants to publish patient records for research while also ensuring secure communication between IoT medical devices. Based on the module, recommend an end-to-end privacy and security solution using anonymization, ECC, and blockchain, justif</c:v>
                </c:pt>
                <c:pt idx="1">
                  <c:v>Compare generalization and suppression using examples from the PDF</c:v>
                </c:pt>
                <c:pt idx="2">
                  <c:v>Compare k-anonymity, l-diversity, and t-closeness in terms of objective,weakness addressed,remaining limitation.</c:v>
                </c:pt>
                <c:pt idx="3">
                  <c:v>Compare the roles of anonymization techniques (k-anonymity, l-diversity, t-closeness) and cryptographic techniques (ECC, Blockchain). How do they complement each other in IoT security?</c:v>
                </c:pt>
                <c:pt idx="4">
                  <c:v>Describe the steps involved in achieving l-diversity.</c:v>
                </c:pt>
                <c:pt idx="5">
                  <c:v>Design a privacy-preserving approach for a smart healthcare IoT system using: k-anonymity,l-diversity, ECC,blockchain.Explain the role of each technique.</c:v>
                </c:pt>
                <c:pt idx="6">
                  <c:v>Explain how blockchain helps prevent unauthorized access in IoT.</c:v>
                </c:pt>
                <c:pt idx="7">
                  <c:v>Explain the complete workflow of achieving t-closeness starting from the original dataset until the final adjusted groups.</c:v>
                </c:pt>
                <c:pt idx="8">
                  <c:v>Explain the four steps required to achieve k-anonymity.</c:v>
                </c:pt>
                <c:pt idx="9">
                  <c:v>Explain why l-diversity may still fail when the overall distribution of sensitive attributes is highly skewed.</c:v>
                </c:pt>
                <c:pt idx="10">
                  <c:v>Give one application of blockchain in IoT.</c:v>
                </c:pt>
                <c:pt idx="11">
                  <c:v>How does l-diversity overcome the weakness of k-anonymity?</c:v>
                </c:pt>
                <c:pt idx="12">
                  <c:v>In the 3-anonymized dataset, why is the group containing only Heart disease vulnerable, and how does l-diversity fix this problem?</c:v>
                </c:pt>
                <c:pt idx="13">
                  <c:v>In the example dataset, which fields are quasi-identifiers and which field is sensitive?</c:v>
                </c:pt>
                <c:pt idx="14">
                  <c:v>In the t-closeness example, why are age and area code generalized before checking disease distribution?</c:v>
                </c:pt>
                <c:pt idx="15">
                  <c:v>Name three data anonymization techniques discussed in the module.</c:v>
                </c:pt>
                <c:pt idx="16">
                  <c:v>The PDF gives the global disease distribution as:Heart = 50%, Stomach = 33.3%, Flu = 16.7%
Explain why a group containing 100% Heart disease violates t-closeness.</c:v>
                </c:pt>
                <c:pt idx="17">
                  <c:v>Using the medical dataset example, explain how a linking attack can reveal a person's disease even after k-anonymization.</c:v>
                </c:pt>
                <c:pt idx="18">
                  <c:v>What are quasi-identifiers?</c:v>
                </c:pt>
                <c:pt idx="19">
                  <c:v>What are the three major topics covered in Module 4?</c:v>
                </c:pt>
                <c:pt idx="20">
                  <c:v>What is a homogeneity attack, and why does it affect k-anonymity?</c:v>
                </c:pt>
                <c:pt idx="21">
                  <c:v>What is k-anonymity?</c:v>
                </c:pt>
                <c:pt idx="22">
                  <c:v>What is the main objective of pseudonymization?</c:v>
                </c:pt>
                <c:pt idx="23">
                  <c:v>What is the purpose of data masking?</c:v>
                </c:pt>
                <c:pt idx="24">
                  <c:v>What is the role of smart contracts in blockchain-based IoT systems?</c:v>
                </c:pt>
                <c:pt idx="25">
                  <c:v>Which attribute is considered sensitive in the medical dataset example?</c:v>
                </c:pt>
                <c:pt idx="26">
                  <c:v>Why does ECC require much smaller key sizes than RSA while offering equivalent security?</c:v>
                </c:pt>
                <c:pt idx="27">
                  <c:v>Why is data privacy important in IoT systems?</c:v>
                </c:pt>
                <c:pt idx="28">
                  <c:v>Why is differential privacy useful for protecting IoT data?</c:v>
                </c:pt>
                <c:pt idx="29">
                  <c:v>Why is ECC preferred over RSA for IoT devices?</c:v>
                </c:pt>
              </c:strCache>
            </c:strRef>
          </c:cat>
          <c:val>
            <c:numRef>
              <c:f>Sheet1!$K$81:$K$111</c:f>
              <c:numCache>
                <c:formatCode>General</c:formatCode>
                <c:ptCount val="30"/>
                <c:pt idx="0">
                  <c:v>97</c:v>
                </c:pt>
                <c:pt idx="1">
                  <c:v>91</c:v>
                </c:pt>
                <c:pt idx="2">
                  <c:v>90</c:v>
                </c:pt>
                <c:pt idx="3">
                  <c:v>98</c:v>
                </c:pt>
                <c:pt idx="4">
                  <c:v>99</c:v>
                </c:pt>
                <c:pt idx="5">
                  <c:v>97</c:v>
                </c:pt>
                <c:pt idx="6">
                  <c:v>99</c:v>
                </c:pt>
                <c:pt idx="7">
                  <c:v>94</c:v>
                </c:pt>
                <c:pt idx="8">
                  <c:v>92</c:v>
                </c:pt>
                <c:pt idx="9">
                  <c:v>97</c:v>
                </c:pt>
                <c:pt idx="10">
                  <c:v>100</c:v>
                </c:pt>
                <c:pt idx="11">
                  <c:v>97</c:v>
                </c:pt>
                <c:pt idx="12">
                  <c:v>95</c:v>
                </c:pt>
                <c:pt idx="13">
                  <c:v>100</c:v>
                </c:pt>
                <c:pt idx="14">
                  <c:v>94</c:v>
                </c:pt>
                <c:pt idx="15">
                  <c:v>100</c:v>
                </c:pt>
                <c:pt idx="16">
                  <c:v>100</c:v>
                </c:pt>
                <c:pt idx="17">
                  <c:v>98</c:v>
                </c:pt>
                <c:pt idx="18">
                  <c:v>99</c:v>
                </c:pt>
                <c:pt idx="19">
                  <c:v>43</c:v>
                </c:pt>
                <c:pt idx="20">
                  <c:v>97</c:v>
                </c:pt>
                <c:pt idx="21">
                  <c:v>93</c:v>
                </c:pt>
                <c:pt idx="22">
                  <c:v>100</c:v>
                </c:pt>
                <c:pt idx="23">
                  <c:v>100</c:v>
                </c:pt>
                <c:pt idx="24">
                  <c:v>99</c:v>
                </c:pt>
                <c:pt idx="25">
                  <c:v>96</c:v>
                </c:pt>
                <c:pt idx="26">
                  <c:v>94</c:v>
                </c:pt>
                <c:pt idx="27">
                  <c:v>99</c:v>
                </c:pt>
                <c:pt idx="28">
                  <c:v>98</c:v>
                </c:pt>
                <c:pt idx="2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98-4163-AD59-5D2B4F025535}"/>
            </c:ext>
          </c:extLst>
        </c:ser>
        <c:ser>
          <c:idx val="2"/>
          <c:order val="2"/>
          <c:tx>
            <c:strRef>
              <c:f>Sheet1!$L$79:$L$80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Sheet1!$I$81:$I$111</c:f>
              <c:strCache>
                <c:ptCount val="30"/>
                <c:pt idx="0">
                  <c:v>A smart hospital wants to publish patient records for research while also ensuring secure communication between IoT medical devices. Based on the module, recommend an end-to-end privacy and security solution using anonymization, ECC, and blockchain, justif</c:v>
                </c:pt>
                <c:pt idx="1">
                  <c:v>Compare generalization and suppression using examples from the PDF</c:v>
                </c:pt>
                <c:pt idx="2">
                  <c:v>Compare k-anonymity, l-diversity, and t-closeness in terms of objective,weakness addressed,remaining limitation.</c:v>
                </c:pt>
                <c:pt idx="3">
                  <c:v>Compare the roles of anonymization techniques (k-anonymity, l-diversity, t-closeness) and cryptographic techniques (ECC, Blockchain). How do they complement each other in IoT security?</c:v>
                </c:pt>
                <c:pt idx="4">
                  <c:v>Describe the steps involved in achieving l-diversity.</c:v>
                </c:pt>
                <c:pt idx="5">
                  <c:v>Design a privacy-preserving approach for a smart healthcare IoT system using: k-anonymity,l-diversity, ECC,blockchain.Explain the role of each technique.</c:v>
                </c:pt>
                <c:pt idx="6">
                  <c:v>Explain how blockchain helps prevent unauthorized access in IoT.</c:v>
                </c:pt>
                <c:pt idx="7">
                  <c:v>Explain the complete workflow of achieving t-closeness starting from the original dataset until the final adjusted groups.</c:v>
                </c:pt>
                <c:pt idx="8">
                  <c:v>Explain the four steps required to achieve k-anonymity.</c:v>
                </c:pt>
                <c:pt idx="9">
                  <c:v>Explain why l-diversity may still fail when the overall distribution of sensitive attributes is highly skewed.</c:v>
                </c:pt>
                <c:pt idx="10">
                  <c:v>Give one application of blockchain in IoT.</c:v>
                </c:pt>
                <c:pt idx="11">
                  <c:v>How does l-diversity overcome the weakness of k-anonymity?</c:v>
                </c:pt>
                <c:pt idx="12">
                  <c:v>In the 3-anonymized dataset, why is the group containing only Heart disease vulnerable, and how does l-diversity fix this problem?</c:v>
                </c:pt>
                <c:pt idx="13">
                  <c:v>In the example dataset, which fields are quasi-identifiers and which field is sensitive?</c:v>
                </c:pt>
                <c:pt idx="14">
                  <c:v>In the t-closeness example, why are age and area code generalized before checking disease distribution?</c:v>
                </c:pt>
                <c:pt idx="15">
                  <c:v>Name three data anonymization techniques discussed in the module.</c:v>
                </c:pt>
                <c:pt idx="16">
                  <c:v>The PDF gives the global disease distribution as:Heart = 50%, Stomach = 33.3%, Flu = 16.7%
Explain why a group containing 100% Heart disease violates t-closeness.</c:v>
                </c:pt>
                <c:pt idx="17">
                  <c:v>Using the medical dataset example, explain how a linking attack can reveal a person's disease even after k-anonymization.</c:v>
                </c:pt>
                <c:pt idx="18">
                  <c:v>What are quasi-identifiers?</c:v>
                </c:pt>
                <c:pt idx="19">
                  <c:v>What are the three major topics covered in Module 4?</c:v>
                </c:pt>
                <c:pt idx="20">
                  <c:v>What is a homogeneity attack, and why does it affect k-anonymity?</c:v>
                </c:pt>
                <c:pt idx="21">
                  <c:v>What is k-anonymity?</c:v>
                </c:pt>
                <c:pt idx="22">
                  <c:v>What is the main objective of pseudonymization?</c:v>
                </c:pt>
                <c:pt idx="23">
                  <c:v>What is the purpose of data masking?</c:v>
                </c:pt>
                <c:pt idx="24">
                  <c:v>What is the role of smart contracts in blockchain-based IoT systems?</c:v>
                </c:pt>
                <c:pt idx="25">
                  <c:v>Which attribute is considered sensitive in the medical dataset example?</c:v>
                </c:pt>
                <c:pt idx="26">
                  <c:v>Why does ECC require much smaller key sizes than RSA while offering equivalent security?</c:v>
                </c:pt>
                <c:pt idx="27">
                  <c:v>Why is data privacy important in IoT systems?</c:v>
                </c:pt>
                <c:pt idx="28">
                  <c:v>Why is differential privacy useful for protecting IoT data?</c:v>
                </c:pt>
                <c:pt idx="29">
                  <c:v>Why is ECC preferred over RSA for IoT devices?</c:v>
                </c:pt>
              </c:strCache>
            </c:strRef>
          </c:cat>
          <c:val>
            <c:numRef>
              <c:f>Sheet1!$L$81:$L$111</c:f>
              <c:numCache>
                <c:formatCode>General</c:formatCode>
                <c:ptCount val="30"/>
                <c:pt idx="0">
                  <c:v>99</c:v>
                </c:pt>
                <c:pt idx="1">
                  <c:v>95</c:v>
                </c:pt>
                <c:pt idx="2">
                  <c:v>94</c:v>
                </c:pt>
                <c:pt idx="3">
                  <c:v>83</c:v>
                </c:pt>
                <c:pt idx="4">
                  <c:v>99</c:v>
                </c:pt>
                <c:pt idx="5">
                  <c:v>97</c:v>
                </c:pt>
                <c:pt idx="6">
                  <c:v>100</c:v>
                </c:pt>
                <c:pt idx="7">
                  <c:v>97</c:v>
                </c:pt>
                <c:pt idx="8">
                  <c:v>95</c:v>
                </c:pt>
                <c:pt idx="9">
                  <c:v>98</c:v>
                </c:pt>
                <c:pt idx="10">
                  <c:v>100</c:v>
                </c:pt>
                <c:pt idx="11">
                  <c:v>95</c:v>
                </c:pt>
                <c:pt idx="12">
                  <c:v>96</c:v>
                </c:pt>
                <c:pt idx="13">
                  <c:v>95</c:v>
                </c:pt>
                <c:pt idx="14">
                  <c:v>98</c:v>
                </c:pt>
                <c:pt idx="15">
                  <c:v>99</c:v>
                </c:pt>
                <c:pt idx="16">
                  <c:v>97</c:v>
                </c:pt>
                <c:pt idx="17">
                  <c:v>98</c:v>
                </c:pt>
                <c:pt idx="18">
                  <c:v>100</c:v>
                </c:pt>
                <c:pt idx="19">
                  <c:v>44</c:v>
                </c:pt>
                <c:pt idx="20">
                  <c:v>91</c:v>
                </c:pt>
                <c:pt idx="21">
                  <c:v>100</c:v>
                </c:pt>
                <c:pt idx="22">
                  <c:v>99</c:v>
                </c:pt>
                <c:pt idx="23">
                  <c:v>97</c:v>
                </c:pt>
                <c:pt idx="24">
                  <c:v>97</c:v>
                </c:pt>
                <c:pt idx="25">
                  <c:v>100</c:v>
                </c:pt>
                <c:pt idx="26">
                  <c:v>100</c:v>
                </c:pt>
                <c:pt idx="27">
                  <c:v>99</c:v>
                </c:pt>
                <c:pt idx="28">
                  <c:v>99</c:v>
                </c:pt>
                <c:pt idx="2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98-4163-AD59-5D2B4F025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8179616"/>
        <c:axId val="1718182016"/>
      </c:lineChart>
      <c:catAx>
        <c:axId val="17181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82016"/>
        <c:crosses val="autoZero"/>
        <c:auto val="1"/>
        <c:lblAlgn val="ctr"/>
        <c:lblOffset val="100"/>
        <c:noMultiLvlLbl val="0"/>
      </c:catAx>
      <c:valAx>
        <c:axId val="171818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7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300616</xdr:colOff>
      <xdr:row>5</xdr:row>
      <xdr:rowOff>148063</xdr:rowOff>
    </xdr:from>
    <xdr:to>
      <xdr:col>18</xdr:col>
      <xdr:colOff>430161</xdr:colOff>
      <xdr:row>21</xdr:row>
      <xdr:rowOff>284327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C8F1C2-0FBF-0AD7-DC82-F93417D56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344323</xdr:colOff>
      <xdr:row>24</xdr:row>
      <xdr:rowOff>163439</xdr:rowOff>
    </xdr:from>
    <xdr:to>
      <xdr:col>18</xdr:col>
      <xdr:colOff>453205</xdr:colOff>
      <xdr:row>39</xdr:row>
      <xdr:rowOff>28433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B6947E-58F2-3646-C072-9129EF86C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320918</xdr:colOff>
      <xdr:row>59</xdr:row>
      <xdr:rowOff>345523</xdr:rowOff>
    </xdr:from>
    <xdr:to>
      <xdr:col>19</xdr:col>
      <xdr:colOff>583790</xdr:colOff>
      <xdr:row>77</xdr:row>
      <xdr:rowOff>41056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863B7B-8D92-56C7-992B-13A52D9D5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324552</xdr:colOff>
      <xdr:row>43</xdr:row>
      <xdr:rowOff>10862</xdr:rowOff>
    </xdr:from>
    <xdr:to>
      <xdr:col>18</xdr:col>
      <xdr:colOff>176673</xdr:colOff>
      <xdr:row>57</xdr:row>
      <xdr:rowOff>31766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1E3F38C-C47C-73F7-5463-10B7C4BE0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246062</xdr:colOff>
      <xdr:row>78</xdr:row>
      <xdr:rowOff>0</xdr:rowOff>
    </xdr:from>
    <xdr:to>
      <xdr:col>24</xdr:col>
      <xdr:colOff>897845</xdr:colOff>
      <xdr:row>99</xdr:row>
      <xdr:rowOff>15650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0492D6-B606-4A14-94B2-4372E39D6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gai Laptop" refreshedDate="46225.602148958336" createdVersion="8" refreshedVersion="8" minRefreshableVersion="3" recordCount="90" xr:uid="{5B3CCA66-811B-41E7-A970-BB4D018135F7}">
  <cacheSource type="worksheet">
    <worksheetSource ref="A1:G91" sheet="Sheet1"/>
  </cacheSource>
  <cacheFields count="7">
    <cacheField name="Question" numFmtId="0">
      <sharedItems count="31" longText="1">
        <s v="What are the three major topics covered in Module 4?"/>
        <s v="Why is data privacy important in IoT systems?"/>
        <s v="Name three data anonymization techniques discussed in the module."/>
        <s v="What is k-anonymity?"/>
        <s v="What are quasi-identifiers?"/>
        <s v="Which attribute is considered sensitive in the medical dataset example?"/>
        <s v="What is the purpose of data masking?"/>
        <s v="Why is ECC preferred over RSA for IoT devices?"/>
        <s v="Give one application of blockchain in IoT."/>
        <s v="What is the main objective of pseudonymization?"/>
        <s v="Explain the four steps required to achieve k-anonymity."/>
        <s v="In the example dataset, which fields are quasi-identifiers and which field is sensitive?"/>
        <s v="What is a homogeneity attack, and why does it affect k-anonymity?"/>
        <s v="How does l-diversity overcome the weakness of k-anonymity?"/>
        <s v="Describe the steps involved in achieving l-diversity."/>
        <s v="Compare generalization and suppression using examples from the PDF"/>
        <s v="Why does ECC require much smaller key sizes than RSA while offering equivalent security?"/>
        <s v="Explain how blockchain helps prevent unauthorized access in IoT."/>
        <s v="Why is differential privacy useful for protecting IoT data?"/>
        <s v="What is the role of smart contracts in blockchain-based IoT systems?"/>
        <s v="Compare k-anonymity, l-diversity, and t-closeness in terms of objective,weakness addressed,remaining limitation."/>
        <s v="Using the medical dataset example, explain how a linking attack can reveal a person's disease even after k-anonymization."/>
        <s v="In the 3-anonymized dataset, why is the group containing only Heart disease vulnerable, and how does l-diversity fix this problem?"/>
        <s v="Explain why l-diversity may still fail when the overall distribution of sensitive attributes is highly skewed."/>
        <s v="The PDF gives the global disease distribution as:Heart = 50%, Stomach = 33.3%, Flu = 16.7%_x000a_Explain why a group containing 100% Heart disease violates t-closeness."/>
        <s v="In the t-closeness example, why are age and area code generalized before checking disease distribution?"/>
        <s v="Explain the complete workflow of achieving t-closeness starting from the original dataset until the final adjusted groups."/>
        <s v="Compare the roles of anonymization techniques (k-anonymity, l-diversity, t-closeness) and cryptographic techniques (ECC, Blockchain). How do they complement each other in IoT security?"/>
        <s v="Design a privacy-preserving approach for a smart healthcare IoT system using: k-anonymity,l-diversity, ECC,blockchain.Explain the role of each technique."/>
        <s v="A smart hospital wants to publish patient records for research while also ensuring secure communication between IoT medical devices. Based on the module, recommend an end-to-end privacy and security solution using anonymization, ECC, and blockchain, justifying why each technique is needed."/>
        <s v="Why is Elliptic Curve Cryptography (ECC) preferred over RSA for IoT devices?" u="1"/>
      </sharedItems>
    </cacheField>
    <cacheField name="Top k" numFmtId="0">
      <sharedItems containsSemiMixedTypes="0" containsString="0" containsNumber="1" containsInteger="1" minValue="3" maxValue="5" count="3">
        <n v="3"/>
        <n v="4"/>
        <n v="5"/>
      </sharedItems>
    </cacheField>
    <cacheField name="Retrieval Time" numFmtId="0">
      <sharedItems containsSemiMixedTypes="0" containsString="0" containsNumber="1" minValue="0.13398647308349601" maxValue="5.2671570000000001"/>
    </cacheField>
    <cacheField name="Re-ranking Time" numFmtId="0">
      <sharedItems containsSemiMixedTypes="0" containsString="0" containsNumber="1" minValue="0.34589648246765098" maxValue="4.6337132453918404"/>
    </cacheField>
    <cacheField name="LLM Generation Time" numFmtId="0">
      <sharedItems containsSemiMixedTypes="0" containsString="0" containsNumber="1" minValue="7.4944643974304199" maxValue="79.842014789581299"/>
    </cacheField>
    <cacheField name="Total Time" numFmtId="0">
      <sharedItems containsSemiMixedTypes="0" containsString="0" containsNumber="1" minValue="8.3091476242675775" maxValue="81.892226934432983"/>
    </cacheField>
    <cacheField name="Answer Quality" numFmtId="0">
      <sharedItems containsSemiMixedTypes="0" containsString="0" containsNumber="1" containsInteger="1" minValue="14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0.38546000000000002"/>
    <n v="2.1297724246978702"/>
    <n v="25.05930519104"/>
    <n v="27.574537615737871"/>
    <n v="14"/>
  </r>
  <r>
    <x v="1"/>
    <x v="0"/>
    <n v="0.181864"/>
    <n v="0.88991451263427701"/>
    <n v="35.1242575645446"/>
    <n v="36.196036077178874"/>
    <n v="96"/>
  </r>
  <r>
    <x v="2"/>
    <x v="0"/>
    <n v="0.17935699999999999"/>
    <n v="0.94026112556457497"/>
    <n v="23.345093727111799"/>
    <n v="24.464711852676373"/>
    <n v="98"/>
  </r>
  <r>
    <x v="3"/>
    <x v="0"/>
    <n v="0.17702399999999999"/>
    <n v="0.43961358070373502"/>
    <n v="16.753080844879101"/>
    <n v="17.369718425582835"/>
    <n v="100"/>
  </r>
  <r>
    <x v="4"/>
    <x v="0"/>
    <n v="5.2671570000000001"/>
    <n v="0.86148476600646895"/>
    <n v="18.596971511840799"/>
    <n v="24.725613277847266"/>
    <n v="97"/>
  </r>
  <r>
    <x v="5"/>
    <x v="0"/>
    <n v="0.24046400000000001"/>
    <n v="0.57421922683715798"/>
    <n v="7.4944643974304199"/>
    <n v="8.3091476242675775"/>
    <n v="100"/>
  </r>
  <r>
    <x v="6"/>
    <x v="0"/>
    <n v="0.175764"/>
    <n v="1.02440738677978"/>
    <n v="12.4324226379394"/>
    <n v="13.632594024719181"/>
    <n v="96"/>
  </r>
  <r>
    <x v="7"/>
    <x v="0"/>
    <n v="0.332758"/>
    <n v="1.1256580352783201"/>
    <n v="17.6818153858184"/>
    <n v="19.140231421096718"/>
    <n v="99"/>
  </r>
  <r>
    <x v="8"/>
    <x v="0"/>
    <n v="0.17832100000000001"/>
    <n v="0.93475651741027799"/>
    <n v="9.2230815887451101"/>
    <n v="10.336159106155389"/>
    <n v="100"/>
  </r>
  <r>
    <x v="9"/>
    <x v="0"/>
    <n v="0.18352299999999999"/>
    <n v="1.69635033607482"/>
    <n v="11.873298645019499"/>
    <n v="13.753171981094319"/>
    <n v="99"/>
  </r>
  <r>
    <x v="10"/>
    <x v="0"/>
    <n v="0.437748193740844"/>
    <n v="0.96074247360229403"/>
    <n v="43.784422874450598"/>
    <n v="45.182913541793738"/>
    <n v="82"/>
  </r>
  <r>
    <x v="11"/>
    <x v="0"/>
    <n v="0.22155165672302199"/>
    <n v="0.61523580551147405"/>
    <n v="24.970744132995598"/>
    <n v="25.807531595230095"/>
    <n v="99"/>
  </r>
  <r>
    <x v="12"/>
    <x v="0"/>
    <n v="0.198657751083374"/>
    <n v="1.51532983779907"/>
    <n v="29.402389287948601"/>
    <n v="31.116376876831044"/>
    <n v="92"/>
  </r>
  <r>
    <x v="13"/>
    <x v="0"/>
    <n v="0.33423471450805597"/>
    <n v="0.67735266685485795"/>
    <n v="16.178067207336401"/>
    <n v="17.189654588699316"/>
    <n v="94"/>
  </r>
  <r>
    <x v="14"/>
    <x v="0"/>
    <n v="0.232396125793457"/>
    <n v="1.0897753238677901"/>
    <n v="28.6281671524047"/>
    <n v="29.950338602065948"/>
    <n v="99"/>
  </r>
  <r>
    <x v="15"/>
    <x v="0"/>
    <n v="0.16502404212951599"/>
    <n v="0.83235812187194802"/>
    <n v="18.930059432983398"/>
    <n v="19.927441596984863"/>
    <n v="93"/>
  </r>
  <r>
    <x v="16"/>
    <x v="0"/>
    <n v="0.204903364181518"/>
    <n v="0.80982351303100497"/>
    <n v="16.5656850337982"/>
    <n v="17.580411911010724"/>
    <n v="98"/>
  </r>
  <r>
    <x v="17"/>
    <x v="0"/>
    <n v="0.39858746528625399"/>
    <n v="1.36330246925354"/>
    <n v="14.9481999874114"/>
    <n v="16.710089921951194"/>
    <n v="81"/>
  </r>
  <r>
    <x v="18"/>
    <x v="0"/>
    <n v="0.192882299423217"/>
    <n v="0.34589648246765098"/>
    <n v="18.089065551757798"/>
    <n v="18.627844333648667"/>
    <n v="23"/>
  </r>
  <r>
    <x v="19"/>
    <x v="0"/>
    <n v="0.20308041572570801"/>
    <n v="1.30275034904479"/>
    <n v="10.748985290527299"/>
    <n v="12.254816055297798"/>
    <n v="98"/>
  </r>
  <r>
    <x v="20"/>
    <x v="0"/>
    <n v="0.16750431060790999"/>
    <n v="0.43841099739074701"/>
    <n v="64.841602563858004"/>
    <n v="65.447517871856661"/>
    <n v="82"/>
  </r>
  <r>
    <x v="21"/>
    <x v="0"/>
    <n v="0.24608230590820299"/>
    <n v="0.88413763046264604"/>
    <n v="29.7147617340087"/>
    <n v="30.84498167037955"/>
    <n v="97"/>
  </r>
  <r>
    <x v="22"/>
    <x v="0"/>
    <n v="0.18758964538574199"/>
    <n v="0.45457100868225098"/>
    <n v="29.799125909805198"/>
    <n v="30.441286563873192"/>
    <n v="96"/>
  </r>
  <r>
    <x v="23"/>
    <x v="0"/>
    <n v="0.25505137443542403"/>
    <n v="0.64168834686279297"/>
    <n v="22.8468658924102"/>
    <n v="23.743605613708418"/>
    <n v="97"/>
  </r>
  <r>
    <x v="24"/>
    <x v="0"/>
    <n v="0.21904635429382299"/>
    <n v="1.39139628410339"/>
    <n v="21.987260103225701"/>
    <n v="23.597702741622914"/>
    <n v="87"/>
  </r>
  <r>
    <x v="25"/>
    <x v="0"/>
    <n v="0.237526655197143"/>
    <n v="0.97932243347167902"/>
    <n v="23.744105815887401"/>
    <n v="24.960954904556225"/>
    <n v="80"/>
  </r>
  <r>
    <x v="26"/>
    <x v="0"/>
    <n v="0.19191908836364699"/>
    <n v="1.4662127494812001"/>
    <n v="52.9411520957946"/>
    <n v="54.599283933639448"/>
    <n v="78"/>
  </r>
  <r>
    <x v="27"/>
    <x v="0"/>
    <n v="0.150820016860961"/>
    <n v="0.507207632064819"/>
    <n v="37.839291572570801"/>
    <n v="38.497319221496582"/>
    <n v="99"/>
  </r>
  <r>
    <x v="28"/>
    <x v="0"/>
    <n v="0.198319196701049"/>
    <n v="0.48001694679260198"/>
    <n v="44.023522377014103"/>
    <n v="44.701858520507756"/>
    <n v="78"/>
  </r>
  <r>
    <x v="29"/>
    <x v="0"/>
    <n v="0.35076999664306602"/>
    <n v="1.5641055107116699"/>
    <n v="46.504879236221299"/>
    <n v="48.419754743576036"/>
    <n v="98"/>
  </r>
  <r>
    <x v="0"/>
    <x v="1"/>
    <n v="0.60596966743469205"/>
    <n v="2.7277836799621502"/>
    <n v="37.896293640136697"/>
    <n v="41.230046987533541"/>
    <n v="43"/>
  </r>
  <r>
    <x v="1"/>
    <x v="1"/>
    <n v="0.43780732154846103"/>
    <n v="1.91229224205017"/>
    <n v="40.486840248107903"/>
    <n v="42.836939811706536"/>
    <n v="99"/>
  </r>
  <r>
    <x v="2"/>
    <x v="1"/>
    <n v="0.229096889495849"/>
    <n v="1.1674942970275799"/>
    <n v="16.7705509662628"/>
    <n v="18.16714215278623"/>
    <n v="100"/>
  </r>
  <r>
    <x v="3"/>
    <x v="1"/>
    <n v="0.30555534362792902"/>
    <n v="2.7349874973297101"/>
    <n v="27.5947487354278"/>
    <n v="30.635291576385438"/>
    <n v="93"/>
  </r>
  <r>
    <x v="4"/>
    <x v="1"/>
    <n v="0.39382195472717202"/>
    <n v="4.6337132453918404"/>
    <n v="21.216095209121701"/>
    <n v="26.243630409240712"/>
    <n v="99"/>
  </r>
  <r>
    <x v="5"/>
    <x v="1"/>
    <n v="0.390859365463256"/>
    <n v="2.2844223976135201"/>
    <n v="30.911167621612499"/>
    <n v="33.586449384689274"/>
    <n v="96"/>
  </r>
  <r>
    <x v="6"/>
    <x v="1"/>
    <n v="0.35720562934875399"/>
    <n v="4.3266682624816797"/>
    <n v="13.753270626068099"/>
    <n v="18.437144517898531"/>
    <n v="100"/>
  </r>
  <r>
    <x v="7"/>
    <x v="1"/>
    <n v="0.32892584800720198"/>
    <n v="2.5782837867736799"/>
    <n v="27.325415611267001"/>
    <n v="30.232625246047881"/>
    <n v="98"/>
  </r>
  <r>
    <x v="8"/>
    <x v="1"/>
    <n v="0.53474617004394498"/>
    <n v="4.5060617923736501"/>
    <n v="26.2956492900848"/>
    <n v="31.336457252502395"/>
    <n v="100"/>
  </r>
  <r>
    <x v="9"/>
    <x v="1"/>
    <n v="0.32065033912658603"/>
    <n v="3.7368719577789302"/>
    <n v="21.074157238006499"/>
    <n v="25.131679534912017"/>
    <n v="100"/>
  </r>
  <r>
    <x v="10"/>
    <x v="1"/>
    <n v="0.248923540115356"/>
    <n v="1.3363053798675499"/>
    <n v="45.607457399368201"/>
    <n v="47.192686319351104"/>
    <n v="92"/>
  </r>
  <r>
    <x v="11"/>
    <x v="1"/>
    <n v="0.29602909088134699"/>
    <n v="1.2293288707733101"/>
    <n v="24.610209703445399"/>
    <n v="26.135567665100055"/>
    <n v="100"/>
  </r>
  <r>
    <x v="12"/>
    <x v="1"/>
    <n v="0.24547266960144001"/>
    <n v="2.65354180335998"/>
    <n v="28.419039249420099"/>
    <n v="31.318053722381517"/>
    <n v="97"/>
  </r>
  <r>
    <x v="13"/>
    <x v="1"/>
    <n v="0.27819991111755299"/>
    <n v="1.31268763542175"/>
    <n v="33.088872909545898"/>
    <n v="34.679760456085205"/>
    <n v="97"/>
  </r>
  <r>
    <x v="14"/>
    <x v="1"/>
    <n v="0.45649194717407199"/>
    <n v="3.2348706722259499"/>
    <n v="51.449496507644596"/>
    <n v="55.140859127044621"/>
    <n v="99"/>
  </r>
  <r>
    <x v="15"/>
    <x v="1"/>
    <n v="0.22097969055175701"/>
    <n v="2.030029296875"/>
    <n v="40.221864938735898"/>
    <n v="42.472873926162656"/>
    <n v="91"/>
  </r>
  <r>
    <x v="16"/>
    <x v="1"/>
    <n v="0.30469059944152799"/>
    <n v="3.6770536899566602"/>
    <n v="38.594319343566802"/>
    <n v="42.576063632964988"/>
    <n v="94"/>
  </r>
  <r>
    <x v="17"/>
    <x v="1"/>
    <n v="0.23437118530273399"/>
    <n v="2.84792160987854"/>
    <n v="29.129453420638999"/>
    <n v="32.21174621582027"/>
    <n v="99"/>
  </r>
  <r>
    <x v="18"/>
    <x v="1"/>
    <n v="0.24167799949645899"/>
    <n v="1.7402286529541"/>
    <n v="24.832638978958101"/>
    <n v="26.814545631408659"/>
    <n v="98"/>
  </r>
  <r>
    <x v="19"/>
    <x v="1"/>
    <n v="0.287629604339599"/>
    <n v="3.4322528839111301"/>
    <n v="29.773272514343201"/>
    <n v="33.49315500259393"/>
    <n v="99"/>
  </r>
  <r>
    <x v="20"/>
    <x v="1"/>
    <n v="0.267991542816162"/>
    <n v="1.5379502773284901"/>
    <n v="71.114038228988605"/>
    <n v="72.919980049133258"/>
    <n v="90"/>
  </r>
  <r>
    <x v="21"/>
    <x v="1"/>
    <n v="0.30710029602050698"/>
    <n v="1.9753987789153999"/>
    <n v="31.162536144256499"/>
    <n v="33.445035219192405"/>
    <n v="98"/>
  </r>
  <r>
    <x v="22"/>
    <x v="1"/>
    <n v="0.49483680725097601"/>
    <n v="1.90248680114746"/>
    <n v="36.143698453903198"/>
    <n v="38.541022062301636"/>
    <n v="95"/>
  </r>
  <r>
    <x v="23"/>
    <x v="1"/>
    <n v="0.391583442687988"/>
    <n v="1.42542552947998"/>
    <n v="31.370448827743498"/>
    <n v="33.187457799911463"/>
    <n v="97"/>
  </r>
  <r>
    <x v="24"/>
    <x v="1"/>
    <n v="0.25838565826415999"/>
    <n v="2.63324570655822"/>
    <n v="33.7967782020568"/>
    <n v="36.68840956687918"/>
    <n v="100"/>
  </r>
  <r>
    <x v="25"/>
    <x v="1"/>
    <n v="1.0560054779052701"/>
    <n v="2.00874495506286"/>
    <n v="44.411111593246403"/>
    <n v="47.475862026214536"/>
    <n v="94"/>
  </r>
  <r>
    <x v="26"/>
    <x v="1"/>
    <n v="0.271107196807861"/>
    <n v="3.5484852790832502"/>
    <n v="70.362469196319495"/>
    <n v="74.182061672210608"/>
    <n v="94"/>
  </r>
  <r>
    <x v="27"/>
    <x v="1"/>
    <n v="0.48526906967163003"/>
    <n v="1.5649430751800499"/>
    <n v="79.842014789581299"/>
    <n v="81.892226934432983"/>
    <n v="98"/>
  </r>
  <r>
    <x v="28"/>
    <x v="1"/>
    <n v="0.26373600959777799"/>
    <n v="1.03245973587036"/>
    <n v="57.976807594299302"/>
    <n v="59.273003339767442"/>
    <n v="97"/>
  </r>
  <r>
    <x v="29"/>
    <x v="1"/>
    <n v="0.39036321640014598"/>
    <n v="3.3422973155975302"/>
    <n v="67.565315008163395"/>
    <n v="71.297975540161076"/>
    <n v="97"/>
  </r>
  <r>
    <x v="0"/>
    <x v="2"/>
    <n v="0.49709057807922302"/>
    <n v="2.14984035491943"/>
    <n v="22.2778270244598"/>
    <n v="24.924757957458453"/>
    <n v="44"/>
  </r>
  <r>
    <x v="1"/>
    <x v="2"/>
    <n v="0.74566960334777799"/>
    <n v="0.71011805534362704"/>
    <n v="37.5985779762268"/>
    <n v="39.054365634918206"/>
    <n v="99"/>
  </r>
  <r>
    <x v="2"/>
    <x v="2"/>
    <n v="0.95218753814697199"/>
    <n v="0.60574388504028298"/>
    <n v="26.142560720443701"/>
    <n v="27.700492143630957"/>
    <n v="99"/>
  </r>
  <r>
    <x v="3"/>
    <x v="2"/>
    <n v="0.62810897827148404"/>
    <n v="0.44482231140136702"/>
    <n v="19.033368587493801"/>
    <n v="20.106299877166652"/>
    <n v="100"/>
  </r>
  <r>
    <x v="4"/>
    <x v="2"/>
    <n v="0.160958766937255"/>
    <n v="1.18627476692199"/>
    <n v="30.687754154205301"/>
    <n v="32.034987688064547"/>
    <n v="100"/>
  </r>
  <r>
    <x v="5"/>
    <x v="2"/>
    <n v="0.21292495727538999"/>
    <n v="0.899586200714111"/>
    <n v="24.460526943206698"/>
    <n v="25.5730381011962"/>
    <n v="100"/>
  </r>
  <r>
    <x v="6"/>
    <x v="2"/>
    <n v="0.36927294731140098"/>
    <n v="0.999891757965087"/>
    <n v="19.115765094756998"/>
    <n v="20.484929800033488"/>
    <n v="97"/>
  </r>
  <r>
    <x v="7"/>
    <x v="2"/>
    <n v="0.51916337013244596"/>
    <n v="0.43178391456603998"/>
    <n v="29.691148281097401"/>
    <n v="30.642095565795888"/>
    <n v="100"/>
  </r>
  <r>
    <x v="8"/>
    <x v="2"/>
    <n v="0.79149770736694303"/>
    <n v="1.34081578254699"/>
    <n v="15.357177257537799"/>
    <n v="17.489490747451732"/>
    <n v="100"/>
  </r>
  <r>
    <x v="9"/>
    <x v="2"/>
    <n v="0.13398647308349601"/>
    <n v="0.83791470527648904"/>
    <n v="23.672963380813599"/>
    <n v="24.644864559173584"/>
    <n v="99"/>
  </r>
  <r>
    <x v="10"/>
    <x v="2"/>
    <n v="0.480142831802368"/>
    <n v="0.44804191589355402"/>
    <n v="44.357870340347198"/>
    <n v="45.286055088043121"/>
    <n v="95"/>
  </r>
  <r>
    <x v="11"/>
    <x v="2"/>
    <n v="0.15931057929992601"/>
    <n v="0.66685485839843694"/>
    <n v="39.406790018081601"/>
    <n v="40.232955455779965"/>
    <n v="95"/>
  </r>
  <r>
    <x v="12"/>
    <x v="2"/>
    <n v="0.70183968544006303"/>
    <n v="1.149343252182"/>
    <n v="34.1799829006195"/>
    <n v="36.031165838241563"/>
    <n v="91"/>
  </r>
  <r>
    <x v="13"/>
    <x v="2"/>
    <n v="0.31197261810302701"/>
    <n v="0.62954664230346602"/>
    <n v="20.2769901752471"/>
    <n v="21.218509435653594"/>
    <n v="95"/>
  </r>
  <r>
    <x v="14"/>
    <x v="2"/>
    <n v="2.2178678512573198"/>
    <n v="1.8105092048645"/>
    <n v="40.490180253982501"/>
    <n v="44.51855731010432"/>
    <n v="99"/>
  </r>
  <r>
    <x v="15"/>
    <x v="2"/>
    <n v="0.50392794609069802"/>
    <n v="1.45316314697265"/>
    <n v="33.454960823058997"/>
    <n v="35.412051916122344"/>
    <n v="95"/>
  </r>
  <r>
    <x v="16"/>
    <x v="2"/>
    <n v="0.35744810104370101"/>
    <n v="0.92327857017517001"/>
    <n v="34.658898115158003"/>
    <n v="35.939624786376875"/>
    <n v="100"/>
  </r>
  <r>
    <x v="17"/>
    <x v="2"/>
    <n v="0.434858798980712"/>
    <n v="0.740547895431518"/>
    <n v="25.774289846420199"/>
    <n v="26.949696540832431"/>
    <n v="100"/>
  </r>
  <r>
    <x v="18"/>
    <x v="2"/>
    <n v="0.261760473251342"/>
    <n v="0.481359243392944"/>
    <n v="26.961925745010301"/>
    <n v="27.705045461654588"/>
    <n v="99"/>
  </r>
  <r>
    <x v="19"/>
    <x v="2"/>
    <n v="0.223819494247436"/>
    <n v="0.91202974319457997"/>
    <n v="20.4235146045684"/>
    <n v="21.559363842010416"/>
    <n v="97"/>
  </r>
  <r>
    <x v="20"/>
    <x v="2"/>
    <n v="0.29630303382873502"/>
    <n v="0.51988101005554199"/>
    <n v="72.785242080688406"/>
    <n v="73.601426124572683"/>
    <n v="94"/>
  </r>
  <r>
    <x v="21"/>
    <x v="2"/>
    <n v="0.45346951484680098"/>
    <n v="0.52118682861328103"/>
    <n v="52.101027011871302"/>
    <n v="53.075683355331385"/>
    <n v="98"/>
  </r>
  <r>
    <x v="22"/>
    <x v="2"/>
    <n v="0.30866837501525801"/>
    <n v="0.49909210205078097"/>
    <n v="41.963689327239898"/>
    <n v="42.771449804305938"/>
    <n v="96"/>
  </r>
  <r>
    <x v="23"/>
    <x v="2"/>
    <n v="0.23363304138183499"/>
    <n v="0.48041272163391102"/>
    <n v="30.037773847579899"/>
    <n v="30.751819610595646"/>
    <n v="98"/>
  </r>
  <r>
    <x v="24"/>
    <x v="2"/>
    <n v="0.23666572570800701"/>
    <n v="1.9764037132263099"/>
    <n v="20.688587903976401"/>
    <n v="22.901657342910717"/>
    <n v="97"/>
  </r>
  <r>
    <x v="25"/>
    <x v="2"/>
    <n v="0.20624446868896401"/>
    <n v="0.71775197982787997"/>
    <n v="35.816544055938699"/>
    <n v="36.740540504455545"/>
    <n v="98"/>
  </r>
  <r>
    <x v="26"/>
    <x v="2"/>
    <n v="0.23593854904174799"/>
    <n v="0.955738306045532"/>
    <n v="75.445142745971594"/>
    <n v="76.636819601058875"/>
    <n v="97"/>
  </r>
  <r>
    <x v="27"/>
    <x v="2"/>
    <n v="0.62325239181518499"/>
    <n v="0.48885726928710899"/>
    <n v="39.287507057189899"/>
    <n v="40.399616718292194"/>
    <n v="83"/>
  </r>
  <r>
    <x v="28"/>
    <x v="2"/>
    <n v="0.26319527626037598"/>
    <n v="0.87978267669677701"/>
    <n v="68.081623077392507"/>
    <n v="69.22460103034966"/>
    <n v="97"/>
  </r>
  <r>
    <x v="29"/>
    <x v="2"/>
    <n v="0.91151380538940396"/>
    <n v="1.2687749862670801"/>
    <n v="36.0778806209564"/>
    <n v="38.258169412612887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957D6-458C-4E9E-91B8-A2AD8F94A33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L7:M11" firstHeaderRow="1" firstDataRow="1" firstDataCol="1"/>
  <pivotFields count="7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nswer Quality" fld="6" subtotal="average" baseField="1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32BD0-6A7B-46A6-9BB9-F3168D5E4C5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I79:M111" firstHeaderRow="1" firstDataRow="2" firstDataCol="1"/>
  <pivotFields count="7">
    <pivotField axis="axisRow" showAll="0">
      <items count="32">
        <item x="29"/>
        <item x="15"/>
        <item x="20"/>
        <item x="27"/>
        <item x="14"/>
        <item x="28"/>
        <item x="17"/>
        <item x="26"/>
        <item x="10"/>
        <item x="23"/>
        <item x="8"/>
        <item x="13"/>
        <item x="22"/>
        <item x="11"/>
        <item x="25"/>
        <item x="2"/>
        <item x="24"/>
        <item x="21"/>
        <item x="4"/>
        <item x="0"/>
        <item x="12"/>
        <item x="3"/>
        <item x="9"/>
        <item x="6"/>
        <item x="19"/>
        <item x="5"/>
        <item x="16"/>
        <item x="1"/>
        <item x="18"/>
        <item x="7"/>
        <item m="1" x="3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Question-wise Improvement" fld="6" subtotal="average" baseField="0" baseItem="0"/>
  </dataFields>
  <chartFormats count="1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583B2-92DA-48C3-AF99-0359049D9C6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J61:M65" firstHeaderRow="0" firstDataRow="1" firstDataCol="1"/>
  <pivotFields count="7"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trieval Time" fld="2" subtotal="average" baseField="1" baseItem="0"/>
    <dataField name="Average of Re-ranking Time" fld="3" subtotal="average" baseField="1" baseItem="0"/>
    <dataField name="Average of LLM Generation Time" fld="4" subtotal="average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C395E-D2B3-40D2-B822-5DD76AA394D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L26:M30" firstHeaderRow="1" firstDataRow="1" firstDataCol="1"/>
  <pivotFields count="7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 Time" fld="5" subtotal="average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0B57-2922-47A0-91FC-4DEF6FACC20B}">
  <dimension ref="A1:M111"/>
  <sheetViews>
    <sheetView tabSelected="1" topLeftCell="K52" zoomScale="62" zoomScaleNormal="57" workbookViewId="0">
      <selection activeCell="T126" sqref="T126"/>
    </sheetView>
  </sheetViews>
  <sheetFormatPr defaultRowHeight="14.25" x14ac:dyDescent="0.45"/>
  <cols>
    <col min="1" max="1" width="85.3984375" customWidth="1"/>
    <col min="2" max="2" width="6.9296875" customWidth="1"/>
    <col min="3" max="3" width="13.1328125" customWidth="1"/>
    <col min="4" max="4" width="14.86328125" customWidth="1"/>
    <col min="5" max="5" width="18.33203125" customWidth="1"/>
    <col min="7" max="7" width="16.796875" customWidth="1"/>
    <col min="9" max="9" width="31.6640625" customWidth="1"/>
    <col min="10" max="10" width="16.6640625" customWidth="1"/>
    <col min="11" max="11" width="21.33203125" customWidth="1"/>
    <col min="12" max="12" width="16" bestFit="1" customWidth="1"/>
    <col min="13" max="13" width="27" customWidth="1"/>
    <col min="14" max="14" width="16" bestFit="1" customWidth="1"/>
    <col min="15" max="15" width="10" bestFit="1" customWidth="1"/>
    <col min="16" max="16" width="11.9296875" bestFit="1" customWidth="1"/>
    <col min="23" max="23" width="9.1328125" bestFit="1" customWidth="1"/>
    <col min="24" max="24" width="17.9296875" customWidth="1"/>
    <col min="25" max="25" width="24.33203125" customWidth="1"/>
    <col min="26" max="26" width="13.73046875" customWidth="1"/>
  </cols>
  <sheetData>
    <row r="1" spans="1:13" ht="26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45">
      <c r="A2" s="2" t="s">
        <v>7</v>
      </c>
      <c r="B2" s="2">
        <v>3</v>
      </c>
      <c r="C2" s="2">
        <v>0.38546000000000002</v>
      </c>
      <c r="D2" s="2">
        <v>2.1297724246978702</v>
      </c>
      <c r="E2" s="2">
        <v>25.05930519104</v>
      </c>
      <c r="F2" s="2">
        <f t="shared" ref="F2:F65" si="0">SUM(C2:E2)</f>
        <v>27.574537615737871</v>
      </c>
      <c r="G2" s="2">
        <v>14</v>
      </c>
    </row>
    <row r="3" spans="1:13" x14ac:dyDescent="0.45">
      <c r="A3" s="2" t="s">
        <v>8</v>
      </c>
      <c r="B3" s="2">
        <v>3</v>
      </c>
      <c r="C3" s="2">
        <v>0.181864</v>
      </c>
      <c r="D3" s="2">
        <v>0.88991451263427701</v>
      </c>
      <c r="E3" s="2">
        <v>35.1242575645446</v>
      </c>
      <c r="F3" s="2">
        <f t="shared" si="0"/>
        <v>36.196036077178874</v>
      </c>
      <c r="G3" s="2">
        <v>96</v>
      </c>
    </row>
    <row r="4" spans="1:13" ht="16.5" customHeight="1" x14ac:dyDescent="0.45">
      <c r="A4" s="2" t="s">
        <v>9</v>
      </c>
      <c r="B4" s="2">
        <v>3</v>
      </c>
      <c r="C4" s="2">
        <v>0.17935699999999999</v>
      </c>
      <c r="D4" s="2">
        <v>0.94026112556457497</v>
      </c>
      <c r="E4" s="2">
        <v>23.345093727111799</v>
      </c>
      <c r="F4" s="2">
        <f t="shared" si="0"/>
        <v>24.464711852676373</v>
      </c>
      <c r="G4" s="2">
        <v>98</v>
      </c>
    </row>
    <row r="5" spans="1:13" x14ac:dyDescent="0.45">
      <c r="A5" s="2" t="s">
        <v>10</v>
      </c>
      <c r="B5" s="2">
        <v>3</v>
      </c>
      <c r="C5" s="2">
        <v>0.17702399999999999</v>
      </c>
      <c r="D5" s="2">
        <v>0.43961358070373502</v>
      </c>
      <c r="E5" s="2">
        <v>16.753080844879101</v>
      </c>
      <c r="F5" s="2">
        <f t="shared" si="0"/>
        <v>17.369718425582835</v>
      </c>
      <c r="G5" s="2">
        <v>100</v>
      </c>
    </row>
    <row r="6" spans="1:13" x14ac:dyDescent="0.45">
      <c r="A6" s="2" t="s">
        <v>11</v>
      </c>
      <c r="B6" s="2">
        <v>3</v>
      </c>
      <c r="C6" s="2">
        <v>5.2671570000000001</v>
      </c>
      <c r="D6" s="2">
        <v>0.86148476600646895</v>
      </c>
      <c r="E6" s="2">
        <v>18.596971511840799</v>
      </c>
      <c r="F6" s="2">
        <f t="shared" si="0"/>
        <v>24.725613277847266</v>
      </c>
      <c r="G6" s="2">
        <v>97</v>
      </c>
    </row>
    <row r="7" spans="1:13" x14ac:dyDescent="0.45">
      <c r="A7" s="2" t="s">
        <v>12</v>
      </c>
      <c r="B7" s="2">
        <v>3</v>
      </c>
      <c r="C7" s="2">
        <v>0.24046400000000001</v>
      </c>
      <c r="D7" s="2">
        <v>0.57421922683715798</v>
      </c>
      <c r="E7" s="2">
        <v>7.4944643974304199</v>
      </c>
      <c r="F7" s="2">
        <f t="shared" si="0"/>
        <v>8.3091476242675775</v>
      </c>
      <c r="G7" s="2">
        <v>100</v>
      </c>
      <c r="L7" s="6" t="s">
        <v>38</v>
      </c>
      <c r="M7" t="s">
        <v>37</v>
      </c>
    </row>
    <row r="8" spans="1:13" x14ac:dyDescent="0.45">
      <c r="A8" s="2" t="s">
        <v>13</v>
      </c>
      <c r="B8" s="2">
        <v>3</v>
      </c>
      <c r="C8" s="2">
        <v>0.175764</v>
      </c>
      <c r="D8" s="2">
        <v>1.02440738677978</v>
      </c>
      <c r="E8" s="2">
        <v>12.4324226379394</v>
      </c>
      <c r="F8" s="2">
        <f t="shared" si="0"/>
        <v>13.632594024719181</v>
      </c>
      <c r="G8" s="2">
        <v>96</v>
      </c>
      <c r="L8" s="7">
        <v>3</v>
      </c>
      <c r="M8">
        <v>88.333333333333329</v>
      </c>
    </row>
    <row r="9" spans="1:13" x14ac:dyDescent="0.45">
      <c r="A9" s="7" t="s">
        <v>36</v>
      </c>
      <c r="B9" s="2">
        <v>3</v>
      </c>
      <c r="C9" s="2">
        <v>0.332758</v>
      </c>
      <c r="D9" s="2">
        <v>1.1256580352783201</v>
      </c>
      <c r="E9" s="2">
        <v>17.6818153858184</v>
      </c>
      <c r="F9" s="2">
        <f t="shared" si="0"/>
        <v>19.140231421096718</v>
      </c>
      <c r="G9" s="2">
        <v>99</v>
      </c>
      <c r="L9" s="7">
        <v>4</v>
      </c>
      <c r="M9">
        <v>95.13333333333334</v>
      </c>
    </row>
    <row r="10" spans="1:13" x14ac:dyDescent="0.45">
      <c r="A10" s="2" t="s">
        <v>14</v>
      </c>
      <c r="B10" s="2">
        <v>3</v>
      </c>
      <c r="C10" s="2">
        <v>0.17832100000000001</v>
      </c>
      <c r="D10" s="2">
        <v>0.93475651741027799</v>
      </c>
      <c r="E10" s="2">
        <v>9.2230815887451101</v>
      </c>
      <c r="F10" s="2">
        <f t="shared" si="0"/>
        <v>10.336159106155389</v>
      </c>
      <c r="G10" s="2">
        <v>100</v>
      </c>
      <c r="L10" s="7">
        <v>5</v>
      </c>
      <c r="M10">
        <v>95.36666666666666</v>
      </c>
    </row>
    <row r="11" spans="1:13" x14ac:dyDescent="0.45">
      <c r="A11" s="2" t="s">
        <v>15</v>
      </c>
      <c r="B11" s="2">
        <v>3</v>
      </c>
      <c r="C11" s="2">
        <v>0.18352299999999999</v>
      </c>
      <c r="D11" s="2">
        <v>1.69635033607482</v>
      </c>
      <c r="E11" s="2">
        <v>11.873298645019499</v>
      </c>
      <c r="F11" s="2">
        <f t="shared" si="0"/>
        <v>13.753171981094319</v>
      </c>
      <c r="G11" s="2">
        <v>99</v>
      </c>
      <c r="L11" s="7" t="s">
        <v>39</v>
      </c>
      <c r="M11">
        <v>92.944444444444443</v>
      </c>
    </row>
    <row r="12" spans="1:13" x14ac:dyDescent="0.45">
      <c r="A12" s="2" t="s">
        <v>16</v>
      </c>
      <c r="B12" s="2">
        <v>3</v>
      </c>
      <c r="C12" s="2">
        <v>0.437748193740844</v>
      </c>
      <c r="D12" s="2">
        <v>0.96074247360229403</v>
      </c>
      <c r="E12" s="2">
        <v>43.784422874450598</v>
      </c>
      <c r="F12" s="2">
        <f t="shared" si="0"/>
        <v>45.182913541793738</v>
      </c>
      <c r="G12" s="2">
        <v>82</v>
      </c>
    </row>
    <row r="13" spans="1:13" x14ac:dyDescent="0.45">
      <c r="A13" s="2" t="s">
        <v>17</v>
      </c>
      <c r="B13" s="2">
        <v>3</v>
      </c>
      <c r="C13" s="2">
        <v>0.22155165672302199</v>
      </c>
      <c r="D13" s="2">
        <v>0.61523580551147405</v>
      </c>
      <c r="E13" s="2">
        <v>24.970744132995598</v>
      </c>
      <c r="F13" s="2">
        <f t="shared" si="0"/>
        <v>25.807531595230095</v>
      </c>
      <c r="G13" s="2">
        <v>99</v>
      </c>
    </row>
    <row r="14" spans="1:13" x14ac:dyDescent="0.45">
      <c r="A14" s="2" t="s">
        <v>18</v>
      </c>
      <c r="B14" s="2">
        <v>3</v>
      </c>
      <c r="C14" s="2">
        <v>0.198657751083374</v>
      </c>
      <c r="D14" s="2">
        <v>1.51532983779907</v>
      </c>
      <c r="E14" s="2">
        <v>29.402389287948601</v>
      </c>
      <c r="F14" s="2">
        <f t="shared" si="0"/>
        <v>31.116376876831044</v>
      </c>
      <c r="G14" s="2">
        <v>92</v>
      </c>
    </row>
    <row r="15" spans="1:13" x14ac:dyDescent="0.45">
      <c r="A15" s="2" t="s">
        <v>19</v>
      </c>
      <c r="B15" s="2">
        <v>3</v>
      </c>
      <c r="C15" s="2">
        <v>0.33423471450805597</v>
      </c>
      <c r="D15" s="2">
        <v>0.67735266685485795</v>
      </c>
      <c r="E15" s="2">
        <v>16.178067207336401</v>
      </c>
      <c r="F15" s="2">
        <f t="shared" si="0"/>
        <v>17.189654588699316</v>
      </c>
      <c r="G15" s="2">
        <v>94</v>
      </c>
    </row>
    <row r="16" spans="1:13" x14ac:dyDescent="0.45">
      <c r="A16" s="2" t="s">
        <v>20</v>
      </c>
      <c r="B16" s="2">
        <v>3</v>
      </c>
      <c r="C16" s="2">
        <v>0.232396125793457</v>
      </c>
      <c r="D16" s="2">
        <v>1.0897753238677901</v>
      </c>
      <c r="E16" s="2">
        <v>28.6281671524047</v>
      </c>
      <c r="F16" s="2">
        <f t="shared" si="0"/>
        <v>29.950338602065948</v>
      </c>
      <c r="G16" s="2">
        <v>99</v>
      </c>
    </row>
    <row r="17" spans="1:13" x14ac:dyDescent="0.45">
      <c r="A17" s="2" t="s">
        <v>35</v>
      </c>
      <c r="B17" s="2">
        <v>3</v>
      </c>
      <c r="C17" s="2">
        <v>0.16502404212951599</v>
      </c>
      <c r="D17" s="2">
        <v>0.83235812187194802</v>
      </c>
      <c r="E17" s="2">
        <v>18.930059432983398</v>
      </c>
      <c r="F17" s="2">
        <f t="shared" si="0"/>
        <v>19.927441596984863</v>
      </c>
      <c r="G17" s="2">
        <v>93</v>
      </c>
    </row>
    <row r="18" spans="1:13" x14ac:dyDescent="0.45">
      <c r="A18" s="2" t="s">
        <v>21</v>
      </c>
      <c r="B18" s="2">
        <v>3</v>
      </c>
      <c r="C18" s="2">
        <v>0.204903364181518</v>
      </c>
      <c r="D18" s="2">
        <v>0.80982351303100497</v>
      </c>
      <c r="E18" s="2">
        <v>16.5656850337982</v>
      </c>
      <c r="F18" s="2">
        <f t="shared" si="0"/>
        <v>17.580411911010724</v>
      </c>
      <c r="G18" s="2">
        <v>98</v>
      </c>
    </row>
    <row r="19" spans="1:13" x14ac:dyDescent="0.45">
      <c r="A19" s="2" t="s">
        <v>22</v>
      </c>
      <c r="B19" s="2">
        <v>3</v>
      </c>
      <c r="C19" s="2">
        <v>0.39858746528625399</v>
      </c>
      <c r="D19" s="2">
        <v>1.36330246925354</v>
      </c>
      <c r="E19" s="2">
        <v>14.9481999874114</v>
      </c>
      <c r="F19" s="2">
        <f t="shared" si="0"/>
        <v>16.710089921951194</v>
      </c>
      <c r="G19" s="2">
        <v>81</v>
      </c>
    </row>
    <row r="20" spans="1:13" x14ac:dyDescent="0.45">
      <c r="A20" s="2" t="s">
        <v>23</v>
      </c>
      <c r="B20" s="2">
        <v>3</v>
      </c>
      <c r="C20" s="2">
        <v>0.192882299423217</v>
      </c>
      <c r="D20" s="2">
        <v>0.34589648246765098</v>
      </c>
      <c r="E20" s="2">
        <v>18.089065551757798</v>
      </c>
      <c r="F20" s="2">
        <f t="shared" si="0"/>
        <v>18.627844333648667</v>
      </c>
      <c r="G20" s="2">
        <v>23</v>
      </c>
    </row>
    <row r="21" spans="1:13" x14ac:dyDescent="0.45">
      <c r="A21" s="2" t="s">
        <v>24</v>
      </c>
      <c r="B21" s="2">
        <v>3</v>
      </c>
      <c r="C21" s="2">
        <v>0.20308041572570801</v>
      </c>
      <c r="D21" s="2">
        <v>1.30275034904479</v>
      </c>
      <c r="E21" s="2">
        <v>10.748985290527299</v>
      </c>
      <c r="F21" s="2">
        <f t="shared" si="0"/>
        <v>12.254816055297798</v>
      </c>
      <c r="G21" s="2">
        <v>98</v>
      </c>
    </row>
    <row r="22" spans="1:13" ht="28.15" x14ac:dyDescent="0.45">
      <c r="A22" s="3" t="s">
        <v>25</v>
      </c>
      <c r="B22" s="2">
        <v>3</v>
      </c>
      <c r="C22" s="2">
        <v>0.16750431060790999</v>
      </c>
      <c r="D22" s="2">
        <v>0.43841099739074701</v>
      </c>
      <c r="E22" s="2">
        <v>64.841602563858004</v>
      </c>
      <c r="F22" s="2">
        <f t="shared" si="0"/>
        <v>65.447517871856661</v>
      </c>
      <c r="G22" s="2">
        <v>82</v>
      </c>
    </row>
    <row r="23" spans="1:13" x14ac:dyDescent="0.45">
      <c r="A23" s="2" t="s">
        <v>26</v>
      </c>
      <c r="B23" s="2">
        <v>3</v>
      </c>
      <c r="C23" s="2">
        <v>0.24608230590820299</v>
      </c>
      <c r="D23" s="2">
        <v>0.88413763046264604</v>
      </c>
      <c r="E23" s="2">
        <v>29.7147617340087</v>
      </c>
      <c r="F23" s="2">
        <f t="shared" si="0"/>
        <v>30.84498167037955</v>
      </c>
      <c r="G23" s="2">
        <v>97</v>
      </c>
    </row>
    <row r="24" spans="1:13" x14ac:dyDescent="0.45">
      <c r="A24" s="2" t="s">
        <v>27</v>
      </c>
      <c r="B24" s="2">
        <v>3</v>
      </c>
      <c r="C24" s="2">
        <v>0.18758964538574199</v>
      </c>
      <c r="D24" s="2">
        <v>0.45457100868225098</v>
      </c>
      <c r="E24" s="2">
        <v>29.799125909805198</v>
      </c>
      <c r="F24" s="2">
        <f t="shared" si="0"/>
        <v>30.441286563873192</v>
      </c>
      <c r="G24" s="2">
        <v>96</v>
      </c>
    </row>
    <row r="25" spans="1:13" x14ac:dyDescent="0.45">
      <c r="A25" s="2" t="s">
        <v>28</v>
      </c>
      <c r="B25" s="2">
        <v>3</v>
      </c>
      <c r="C25" s="2">
        <v>0.25505137443542403</v>
      </c>
      <c r="D25" s="2">
        <v>0.64168834686279297</v>
      </c>
      <c r="E25" s="2">
        <v>22.8468658924102</v>
      </c>
      <c r="F25" s="2">
        <f t="shared" si="0"/>
        <v>23.743605613708418</v>
      </c>
      <c r="G25" s="2">
        <v>97</v>
      </c>
    </row>
    <row r="26" spans="1:13" ht="27.75" x14ac:dyDescent="0.45">
      <c r="A26" s="4" t="s">
        <v>29</v>
      </c>
      <c r="B26" s="2">
        <v>3</v>
      </c>
      <c r="C26" s="2">
        <v>0.21904635429382299</v>
      </c>
      <c r="D26" s="2">
        <v>1.39139628410339</v>
      </c>
      <c r="E26" s="2">
        <v>21.987260103225701</v>
      </c>
      <c r="F26" s="2">
        <f t="shared" si="0"/>
        <v>23.597702741622914</v>
      </c>
      <c r="G26" s="2">
        <v>87</v>
      </c>
      <c r="L26" s="6" t="s">
        <v>38</v>
      </c>
      <c r="M26" t="s">
        <v>40</v>
      </c>
    </row>
    <row r="27" spans="1:13" x14ac:dyDescent="0.45">
      <c r="A27" s="2" t="s">
        <v>30</v>
      </c>
      <c r="B27" s="2">
        <v>3</v>
      </c>
      <c r="C27" s="2">
        <v>0.237526655197143</v>
      </c>
      <c r="D27" s="2">
        <v>0.97932243347167902</v>
      </c>
      <c r="E27" s="2">
        <v>23.744105815887401</v>
      </c>
      <c r="F27" s="2">
        <f t="shared" si="0"/>
        <v>24.960954904556225</v>
      </c>
      <c r="G27" s="2">
        <v>80</v>
      </c>
      <c r="L27" s="7">
        <v>3</v>
      </c>
      <c r="M27">
        <v>27.17012020716955</v>
      </c>
    </row>
    <row r="28" spans="1:13" x14ac:dyDescent="0.45">
      <c r="A28" s="2" t="s">
        <v>31</v>
      </c>
      <c r="B28" s="2">
        <v>3</v>
      </c>
      <c r="C28" s="2">
        <v>0.19191908836364699</v>
      </c>
      <c r="D28" s="2">
        <v>1.4662127494812001</v>
      </c>
      <c r="E28" s="2">
        <v>52.9411520957946</v>
      </c>
      <c r="F28" s="2">
        <f t="shared" si="0"/>
        <v>54.599283933639448</v>
      </c>
      <c r="G28" s="2">
        <v>78</v>
      </c>
      <c r="L28" s="7">
        <v>4</v>
      </c>
      <c r="M28">
        <v>40.625858426094013</v>
      </c>
    </row>
    <row r="29" spans="1:13" x14ac:dyDescent="0.45">
      <c r="A29" s="2" t="s">
        <v>32</v>
      </c>
      <c r="B29" s="2">
        <v>3</v>
      </c>
      <c r="C29" s="2">
        <v>0.150820016860961</v>
      </c>
      <c r="D29" s="2">
        <v>0.507207632064819</v>
      </c>
      <c r="E29" s="2">
        <v>37.839291572570801</v>
      </c>
      <c r="F29" s="2">
        <f t="shared" si="0"/>
        <v>38.497319221496582</v>
      </c>
      <c r="G29" s="2">
        <v>99</v>
      </c>
      <c r="L29" s="7">
        <v>5</v>
      </c>
      <c r="M29">
        <v>36.062337708473144</v>
      </c>
    </row>
    <row r="30" spans="1:13" ht="27.75" x14ac:dyDescent="0.45">
      <c r="A30" s="4" t="s">
        <v>33</v>
      </c>
      <c r="B30" s="2">
        <v>3</v>
      </c>
      <c r="C30" s="2">
        <v>0.198319196701049</v>
      </c>
      <c r="D30" s="2">
        <v>0.48001694679260198</v>
      </c>
      <c r="E30" s="2">
        <v>44.023522377014103</v>
      </c>
      <c r="F30" s="2">
        <f t="shared" si="0"/>
        <v>44.701858520507756</v>
      </c>
      <c r="G30" s="2">
        <v>78</v>
      </c>
      <c r="L30" s="7" t="s">
        <v>39</v>
      </c>
      <c r="M30">
        <v>34.619438780578932</v>
      </c>
    </row>
    <row r="31" spans="1:13" x14ac:dyDescent="0.45">
      <c r="A31" s="2" t="s">
        <v>34</v>
      </c>
      <c r="B31" s="2">
        <v>3</v>
      </c>
      <c r="C31" s="2">
        <v>0.35076999664306602</v>
      </c>
      <c r="D31" s="2">
        <v>1.5641055107116699</v>
      </c>
      <c r="E31" s="2">
        <v>46.504879236221299</v>
      </c>
      <c r="F31" s="2">
        <f t="shared" si="0"/>
        <v>48.419754743576036</v>
      </c>
      <c r="G31" s="2">
        <v>98</v>
      </c>
    </row>
    <row r="32" spans="1:13" x14ac:dyDescent="0.45">
      <c r="A32" s="2" t="s">
        <v>7</v>
      </c>
      <c r="B32" s="2">
        <v>4</v>
      </c>
      <c r="C32" s="2">
        <v>0.60596966743469205</v>
      </c>
      <c r="D32" s="2">
        <v>2.7277836799621502</v>
      </c>
      <c r="E32" s="2">
        <v>37.896293640136697</v>
      </c>
      <c r="F32" s="2">
        <f t="shared" si="0"/>
        <v>41.230046987533541</v>
      </c>
      <c r="G32" s="2">
        <v>43</v>
      </c>
    </row>
    <row r="33" spans="1:13" x14ac:dyDescent="0.45">
      <c r="A33" s="2" t="s">
        <v>8</v>
      </c>
      <c r="B33" s="2">
        <v>4</v>
      </c>
      <c r="C33" s="2">
        <v>0.43780732154846103</v>
      </c>
      <c r="D33" s="2">
        <v>1.91229224205017</v>
      </c>
      <c r="E33" s="2">
        <v>40.486840248107903</v>
      </c>
      <c r="F33" s="2">
        <f t="shared" si="0"/>
        <v>42.836939811706536</v>
      </c>
      <c r="G33" s="2">
        <v>99</v>
      </c>
    </row>
    <row r="34" spans="1:13" x14ac:dyDescent="0.45">
      <c r="A34" s="2" t="s">
        <v>9</v>
      </c>
      <c r="B34" s="2">
        <v>4</v>
      </c>
      <c r="C34" s="2">
        <v>0.229096889495849</v>
      </c>
      <c r="D34" s="2">
        <v>1.1674942970275799</v>
      </c>
      <c r="E34" s="2">
        <v>16.7705509662628</v>
      </c>
      <c r="F34" s="2">
        <f t="shared" si="0"/>
        <v>18.16714215278623</v>
      </c>
      <c r="G34" s="2">
        <v>100</v>
      </c>
    </row>
    <row r="35" spans="1:13" x14ac:dyDescent="0.45">
      <c r="A35" s="2" t="s">
        <v>10</v>
      </c>
      <c r="B35" s="2">
        <v>4</v>
      </c>
      <c r="C35" s="2">
        <v>0.30555534362792902</v>
      </c>
      <c r="D35" s="2">
        <v>2.7349874973297101</v>
      </c>
      <c r="E35" s="2">
        <v>27.5947487354278</v>
      </c>
      <c r="F35" s="2">
        <f t="shared" si="0"/>
        <v>30.635291576385438</v>
      </c>
      <c r="G35" s="2">
        <v>93</v>
      </c>
    </row>
    <row r="36" spans="1:13" x14ac:dyDescent="0.45">
      <c r="A36" s="2" t="s">
        <v>11</v>
      </c>
      <c r="B36" s="2">
        <v>4</v>
      </c>
      <c r="C36" s="2">
        <v>0.39382195472717202</v>
      </c>
      <c r="D36" s="2">
        <v>4.6337132453918404</v>
      </c>
      <c r="E36" s="2">
        <v>21.216095209121701</v>
      </c>
      <c r="F36" s="2">
        <f t="shared" si="0"/>
        <v>26.243630409240712</v>
      </c>
      <c r="G36" s="2">
        <v>99</v>
      </c>
    </row>
    <row r="37" spans="1:13" x14ac:dyDescent="0.45">
      <c r="A37" s="2" t="s">
        <v>12</v>
      </c>
      <c r="B37" s="2">
        <v>4</v>
      </c>
      <c r="C37" s="2">
        <v>0.390859365463256</v>
      </c>
      <c r="D37" s="2">
        <v>2.2844223976135201</v>
      </c>
      <c r="E37" s="2">
        <v>30.911167621612499</v>
      </c>
      <c r="F37" s="2">
        <f t="shared" si="0"/>
        <v>33.586449384689274</v>
      </c>
      <c r="G37" s="2">
        <v>96</v>
      </c>
    </row>
    <row r="38" spans="1:13" x14ac:dyDescent="0.45">
      <c r="A38" s="2" t="s">
        <v>13</v>
      </c>
      <c r="B38" s="2">
        <v>4</v>
      </c>
      <c r="C38" s="2">
        <v>0.35720562934875399</v>
      </c>
      <c r="D38" s="2">
        <v>4.3266682624816797</v>
      </c>
      <c r="E38" s="2">
        <v>13.753270626068099</v>
      </c>
      <c r="F38" s="2">
        <f t="shared" si="0"/>
        <v>18.437144517898531</v>
      </c>
      <c r="G38" s="2">
        <v>100</v>
      </c>
    </row>
    <row r="39" spans="1:13" x14ac:dyDescent="0.45">
      <c r="A39" s="2" t="s">
        <v>36</v>
      </c>
      <c r="B39" s="2">
        <v>4</v>
      </c>
      <c r="C39" s="2">
        <v>0.32892584800720198</v>
      </c>
      <c r="D39" s="2">
        <v>2.5782837867736799</v>
      </c>
      <c r="E39" s="2">
        <v>27.325415611267001</v>
      </c>
      <c r="F39" s="2">
        <f t="shared" si="0"/>
        <v>30.232625246047881</v>
      </c>
      <c r="G39" s="2">
        <v>98</v>
      </c>
    </row>
    <row r="40" spans="1:13" x14ac:dyDescent="0.45">
      <c r="A40" s="2" t="s">
        <v>14</v>
      </c>
      <c r="B40" s="2">
        <v>4</v>
      </c>
      <c r="C40" s="2">
        <v>0.53474617004394498</v>
      </c>
      <c r="D40" s="2">
        <v>4.5060617923736501</v>
      </c>
      <c r="E40" s="2">
        <v>26.2956492900848</v>
      </c>
      <c r="F40" s="2">
        <f t="shared" si="0"/>
        <v>31.336457252502395</v>
      </c>
      <c r="G40" s="2">
        <v>100</v>
      </c>
    </row>
    <row r="41" spans="1:13" x14ac:dyDescent="0.45">
      <c r="A41" s="2" t="s">
        <v>15</v>
      </c>
      <c r="B41" s="2">
        <v>4</v>
      </c>
      <c r="C41" s="2">
        <v>0.32065033912658603</v>
      </c>
      <c r="D41" s="2">
        <v>3.7368719577789302</v>
      </c>
      <c r="E41" s="2">
        <v>21.074157238006499</v>
      </c>
      <c r="F41" s="2">
        <f t="shared" si="0"/>
        <v>25.131679534912017</v>
      </c>
      <c r="G41" s="2">
        <v>100</v>
      </c>
    </row>
    <row r="42" spans="1:13" x14ac:dyDescent="0.45">
      <c r="A42" s="2" t="s">
        <v>16</v>
      </c>
      <c r="B42" s="2">
        <v>4</v>
      </c>
      <c r="C42" s="2">
        <v>0.248923540115356</v>
      </c>
      <c r="D42" s="2">
        <v>1.3363053798675499</v>
      </c>
      <c r="E42" s="2">
        <v>45.607457399368201</v>
      </c>
      <c r="F42" s="2">
        <f t="shared" si="0"/>
        <v>47.192686319351104</v>
      </c>
      <c r="G42" s="2">
        <v>92</v>
      </c>
    </row>
    <row r="43" spans="1:13" x14ac:dyDescent="0.45">
      <c r="A43" s="2" t="s">
        <v>17</v>
      </c>
      <c r="B43" s="2">
        <v>4</v>
      </c>
      <c r="C43" s="2">
        <v>0.29602909088134699</v>
      </c>
      <c r="D43" s="2">
        <v>1.2293288707733101</v>
      </c>
      <c r="E43" s="2">
        <v>24.610209703445399</v>
      </c>
      <c r="F43" s="2">
        <f t="shared" si="0"/>
        <v>26.135567665100055</v>
      </c>
      <c r="G43" s="2">
        <v>100</v>
      </c>
    </row>
    <row r="44" spans="1:13" x14ac:dyDescent="0.45">
      <c r="A44" s="2" t="s">
        <v>18</v>
      </c>
      <c r="B44" s="2">
        <v>4</v>
      </c>
      <c r="C44" s="2">
        <v>0.24547266960144001</v>
      </c>
      <c r="D44" s="2">
        <v>2.65354180335998</v>
      </c>
      <c r="E44" s="2">
        <v>28.419039249420099</v>
      </c>
      <c r="F44" s="2">
        <f t="shared" si="0"/>
        <v>31.318053722381517</v>
      </c>
      <c r="G44" s="2">
        <v>97</v>
      </c>
      <c r="K44" s="5" t="s">
        <v>38</v>
      </c>
      <c r="L44" s="5" t="s">
        <v>40</v>
      </c>
      <c r="M44" s="5" t="s">
        <v>37</v>
      </c>
    </row>
    <row r="45" spans="1:13" x14ac:dyDescent="0.45">
      <c r="A45" s="2" t="s">
        <v>19</v>
      </c>
      <c r="B45" s="2">
        <v>4</v>
      </c>
      <c r="C45" s="2">
        <v>0.27819991111755299</v>
      </c>
      <c r="D45" s="2">
        <v>1.31268763542175</v>
      </c>
      <c r="E45" s="2">
        <v>33.088872909545898</v>
      </c>
      <c r="F45" s="2">
        <f t="shared" si="0"/>
        <v>34.679760456085205</v>
      </c>
      <c r="G45" s="2">
        <v>97</v>
      </c>
      <c r="K45" s="7">
        <v>3</v>
      </c>
      <c r="L45">
        <v>27.17012020716955</v>
      </c>
      <c r="M45">
        <v>88.333333333333329</v>
      </c>
    </row>
    <row r="46" spans="1:13" x14ac:dyDescent="0.45">
      <c r="A46" s="2" t="s">
        <v>20</v>
      </c>
      <c r="B46" s="2">
        <v>4</v>
      </c>
      <c r="C46" s="2">
        <v>0.45649194717407199</v>
      </c>
      <c r="D46" s="2">
        <v>3.2348706722259499</v>
      </c>
      <c r="E46" s="2">
        <v>51.449496507644596</v>
      </c>
      <c r="F46" s="2">
        <f t="shared" si="0"/>
        <v>55.140859127044621</v>
      </c>
      <c r="G46" s="2">
        <v>99</v>
      </c>
      <c r="K46" s="7">
        <v>4</v>
      </c>
      <c r="L46">
        <v>40.625858426094013</v>
      </c>
      <c r="M46">
        <v>95.13333333333334</v>
      </c>
    </row>
    <row r="47" spans="1:13" x14ac:dyDescent="0.45">
      <c r="A47" s="2" t="s">
        <v>35</v>
      </c>
      <c r="B47" s="2">
        <v>4</v>
      </c>
      <c r="C47" s="2">
        <v>0.22097969055175701</v>
      </c>
      <c r="D47" s="2">
        <v>2.030029296875</v>
      </c>
      <c r="E47" s="2">
        <v>40.221864938735898</v>
      </c>
      <c r="F47" s="2">
        <f t="shared" si="0"/>
        <v>42.472873926162656</v>
      </c>
      <c r="G47" s="2">
        <v>91</v>
      </c>
      <c r="K47" s="7">
        <v>5</v>
      </c>
      <c r="L47">
        <v>36.062337708473144</v>
      </c>
      <c r="M47">
        <v>95.36666666666666</v>
      </c>
    </row>
    <row r="48" spans="1:13" x14ac:dyDescent="0.45">
      <c r="A48" s="2" t="s">
        <v>21</v>
      </c>
      <c r="B48" s="2">
        <v>4</v>
      </c>
      <c r="C48" s="2">
        <v>0.30469059944152799</v>
      </c>
      <c r="D48" s="2">
        <v>3.6770536899566602</v>
      </c>
      <c r="E48" s="2">
        <v>38.594319343566802</v>
      </c>
      <c r="F48" s="2">
        <f t="shared" si="0"/>
        <v>42.576063632964988</v>
      </c>
      <c r="G48" s="2">
        <v>94</v>
      </c>
    </row>
    <row r="49" spans="1:13" x14ac:dyDescent="0.45">
      <c r="A49" s="2" t="s">
        <v>22</v>
      </c>
      <c r="B49" s="2">
        <v>4</v>
      </c>
      <c r="C49" s="2">
        <v>0.23437118530273399</v>
      </c>
      <c r="D49" s="2">
        <v>2.84792160987854</v>
      </c>
      <c r="E49" s="2">
        <v>29.129453420638999</v>
      </c>
      <c r="F49" s="2">
        <f t="shared" si="0"/>
        <v>32.21174621582027</v>
      </c>
      <c r="G49" s="2">
        <v>99</v>
      </c>
    </row>
    <row r="50" spans="1:13" x14ac:dyDescent="0.45">
      <c r="A50" s="2" t="s">
        <v>23</v>
      </c>
      <c r="B50" s="2">
        <v>4</v>
      </c>
      <c r="C50" s="2">
        <v>0.24167799949645899</v>
      </c>
      <c r="D50" s="2">
        <v>1.7402286529541</v>
      </c>
      <c r="E50" s="2">
        <v>24.832638978958101</v>
      </c>
      <c r="F50" s="2">
        <f t="shared" si="0"/>
        <v>26.814545631408659</v>
      </c>
      <c r="G50" s="2">
        <v>98</v>
      </c>
    </row>
    <row r="51" spans="1:13" x14ac:dyDescent="0.45">
      <c r="A51" s="2" t="s">
        <v>24</v>
      </c>
      <c r="B51" s="2">
        <v>4</v>
      </c>
      <c r="C51" s="2">
        <v>0.287629604339599</v>
      </c>
      <c r="D51" s="2">
        <v>3.4322528839111301</v>
      </c>
      <c r="E51" s="2">
        <v>29.773272514343201</v>
      </c>
      <c r="F51" s="2">
        <f t="shared" si="0"/>
        <v>33.49315500259393</v>
      </c>
      <c r="G51" s="2">
        <v>99</v>
      </c>
    </row>
    <row r="52" spans="1:13" ht="28.15" x14ac:dyDescent="0.45">
      <c r="A52" s="3" t="s">
        <v>25</v>
      </c>
      <c r="B52" s="2">
        <v>4</v>
      </c>
      <c r="C52" s="2">
        <v>0.267991542816162</v>
      </c>
      <c r="D52" s="2">
        <v>1.5379502773284901</v>
      </c>
      <c r="E52" s="2">
        <v>71.114038228988605</v>
      </c>
      <c r="F52" s="2">
        <f t="shared" si="0"/>
        <v>72.919980049133258</v>
      </c>
      <c r="G52" s="2">
        <v>90</v>
      </c>
    </row>
    <row r="53" spans="1:13" x14ac:dyDescent="0.45">
      <c r="A53" s="2" t="s">
        <v>26</v>
      </c>
      <c r="B53" s="2">
        <v>4</v>
      </c>
      <c r="C53" s="2">
        <v>0.30710029602050698</v>
      </c>
      <c r="D53" s="2">
        <v>1.9753987789153999</v>
      </c>
      <c r="E53" s="2">
        <v>31.162536144256499</v>
      </c>
      <c r="F53" s="2">
        <f t="shared" si="0"/>
        <v>33.445035219192405</v>
      </c>
      <c r="G53" s="2">
        <v>98</v>
      </c>
    </row>
    <row r="54" spans="1:13" x14ac:dyDescent="0.45">
      <c r="A54" s="2" t="s">
        <v>27</v>
      </c>
      <c r="B54" s="2">
        <v>4</v>
      </c>
      <c r="C54" s="2">
        <v>0.49483680725097601</v>
      </c>
      <c r="D54" s="2">
        <v>1.90248680114746</v>
      </c>
      <c r="E54" s="2">
        <v>36.143698453903198</v>
      </c>
      <c r="F54" s="2">
        <f t="shared" si="0"/>
        <v>38.541022062301636</v>
      </c>
      <c r="G54" s="2">
        <v>95</v>
      </c>
    </row>
    <row r="55" spans="1:13" x14ac:dyDescent="0.45">
      <c r="A55" s="2" t="s">
        <v>28</v>
      </c>
      <c r="B55" s="2">
        <v>4</v>
      </c>
      <c r="C55" s="2">
        <v>0.391583442687988</v>
      </c>
      <c r="D55" s="2">
        <v>1.42542552947998</v>
      </c>
      <c r="E55" s="2">
        <v>31.370448827743498</v>
      </c>
      <c r="F55" s="2">
        <f t="shared" si="0"/>
        <v>33.187457799911463</v>
      </c>
      <c r="G55" s="2">
        <v>97</v>
      </c>
    </row>
    <row r="56" spans="1:13" ht="27.75" x14ac:dyDescent="0.45">
      <c r="A56" s="4" t="s">
        <v>29</v>
      </c>
      <c r="B56" s="2">
        <v>4</v>
      </c>
      <c r="C56" s="2">
        <v>0.25838565826415999</v>
      </c>
      <c r="D56" s="2">
        <v>2.63324570655822</v>
      </c>
      <c r="E56" s="2">
        <v>33.7967782020568</v>
      </c>
      <c r="F56" s="2">
        <f t="shared" si="0"/>
        <v>36.68840956687918</v>
      </c>
      <c r="G56" s="2">
        <v>100</v>
      </c>
    </row>
    <row r="57" spans="1:13" x14ac:dyDescent="0.45">
      <c r="A57" s="2" t="s">
        <v>30</v>
      </c>
      <c r="B57" s="2">
        <v>4</v>
      </c>
      <c r="C57" s="2">
        <v>1.0560054779052701</v>
      </c>
      <c r="D57" s="2">
        <v>2.00874495506286</v>
      </c>
      <c r="E57" s="2">
        <v>44.411111593246403</v>
      </c>
      <c r="F57" s="2">
        <f t="shared" si="0"/>
        <v>47.475862026214536</v>
      </c>
      <c r="G57" s="2">
        <v>94</v>
      </c>
    </row>
    <row r="58" spans="1:13" x14ac:dyDescent="0.45">
      <c r="A58" s="2" t="s">
        <v>31</v>
      </c>
      <c r="B58" s="2">
        <v>4</v>
      </c>
      <c r="C58" s="2">
        <v>0.271107196807861</v>
      </c>
      <c r="D58" s="2">
        <v>3.5484852790832502</v>
      </c>
      <c r="E58" s="2">
        <v>70.362469196319495</v>
      </c>
      <c r="F58" s="2">
        <f t="shared" si="0"/>
        <v>74.182061672210608</v>
      </c>
      <c r="G58" s="2">
        <v>94</v>
      </c>
    </row>
    <row r="59" spans="1:13" x14ac:dyDescent="0.45">
      <c r="A59" s="2" t="s">
        <v>32</v>
      </c>
      <c r="B59" s="2">
        <v>4</v>
      </c>
      <c r="C59" s="2">
        <v>0.48526906967163003</v>
      </c>
      <c r="D59" s="2">
        <v>1.5649430751800499</v>
      </c>
      <c r="E59" s="2">
        <v>79.842014789581299</v>
      </c>
      <c r="F59" s="2">
        <f t="shared" si="0"/>
        <v>81.892226934432983</v>
      </c>
      <c r="G59" s="2">
        <v>98</v>
      </c>
    </row>
    <row r="60" spans="1:13" ht="27.75" x14ac:dyDescent="0.45">
      <c r="A60" s="4" t="s">
        <v>33</v>
      </c>
      <c r="B60" s="2">
        <v>4</v>
      </c>
      <c r="C60" s="2">
        <v>0.26373600959777799</v>
      </c>
      <c r="D60" s="2">
        <v>1.03245973587036</v>
      </c>
      <c r="E60" s="2">
        <v>57.976807594299302</v>
      </c>
      <c r="F60" s="2">
        <f t="shared" si="0"/>
        <v>59.273003339767442</v>
      </c>
      <c r="G60" s="2">
        <v>97</v>
      </c>
    </row>
    <row r="61" spans="1:13" x14ac:dyDescent="0.45">
      <c r="A61" s="2" t="s">
        <v>34</v>
      </c>
      <c r="B61" s="2">
        <v>4</v>
      </c>
      <c r="C61" s="2">
        <v>0.39036321640014598</v>
      </c>
      <c r="D61" s="2">
        <v>3.3422973155975302</v>
      </c>
      <c r="E61" s="2">
        <v>67.565315008163395</v>
      </c>
      <c r="F61" s="2">
        <f t="shared" si="0"/>
        <v>71.297975540161076</v>
      </c>
      <c r="G61" s="2">
        <v>97</v>
      </c>
      <c r="J61" s="6" t="s">
        <v>38</v>
      </c>
      <c r="K61" t="s">
        <v>41</v>
      </c>
      <c r="L61" t="s">
        <v>42</v>
      </c>
      <c r="M61" t="s">
        <v>43</v>
      </c>
    </row>
    <row r="62" spans="1:13" x14ac:dyDescent="0.45">
      <c r="A62" s="2" t="s">
        <v>7</v>
      </c>
      <c r="B62" s="2">
        <v>5</v>
      </c>
      <c r="C62" s="2">
        <v>0.49709057807922302</v>
      </c>
      <c r="D62" s="2">
        <v>2.14984035491943</v>
      </c>
      <c r="E62" s="2">
        <v>22.2778270244598</v>
      </c>
      <c r="F62" s="2">
        <f t="shared" si="0"/>
        <v>24.924757957458453</v>
      </c>
      <c r="G62" s="2">
        <v>44</v>
      </c>
      <c r="J62" s="7">
        <v>3</v>
      </c>
      <c r="K62">
        <v>0.40317956576639802</v>
      </c>
      <c r="L62">
        <v>0.9645358165105169</v>
      </c>
      <c r="M62">
        <v>25.802404824892633</v>
      </c>
    </row>
    <row r="63" spans="1:13" x14ac:dyDescent="0.45">
      <c r="A63" s="2" t="s">
        <v>8</v>
      </c>
      <c r="B63" s="2">
        <v>5</v>
      </c>
      <c r="C63" s="2">
        <v>0.74566960334777799</v>
      </c>
      <c r="D63" s="2">
        <v>0.71011805534362704</v>
      </c>
      <c r="E63" s="2">
        <v>37.5985779762268</v>
      </c>
      <c r="F63" s="2">
        <f t="shared" si="0"/>
        <v>39.054365634918206</v>
      </c>
      <c r="G63" s="2">
        <v>99</v>
      </c>
      <c r="J63" s="7">
        <v>4</v>
      </c>
      <c r="K63">
        <v>0.36351611614227236</v>
      </c>
      <c r="L63">
        <v>2.5024745702743503</v>
      </c>
      <c r="M63">
        <v>37.759867739677382</v>
      </c>
    </row>
    <row r="64" spans="1:13" x14ac:dyDescent="0.45">
      <c r="A64" s="2" t="s">
        <v>9</v>
      </c>
      <c r="B64" s="2">
        <v>5</v>
      </c>
      <c r="C64" s="2">
        <v>0.95218753814697199</v>
      </c>
      <c r="D64" s="2">
        <v>0.60574388504028298</v>
      </c>
      <c r="E64" s="2">
        <v>26.142560720443701</v>
      </c>
      <c r="F64" s="2">
        <f t="shared" si="0"/>
        <v>27.700492143630957</v>
      </c>
      <c r="G64" s="2">
        <v>99</v>
      </c>
      <c r="J64" s="7">
        <v>5</v>
      </c>
      <c r="K64">
        <v>0.48108978271484332</v>
      </c>
      <c r="L64">
        <v>0.90431159337361477</v>
      </c>
      <c r="M64">
        <v>34.676936332384692</v>
      </c>
    </row>
    <row r="65" spans="1:13" x14ac:dyDescent="0.45">
      <c r="A65" s="2" t="s">
        <v>10</v>
      </c>
      <c r="B65" s="2">
        <v>5</v>
      </c>
      <c r="C65" s="2">
        <v>0.62810897827148404</v>
      </c>
      <c r="D65" s="2">
        <v>0.44482231140136702</v>
      </c>
      <c r="E65" s="2">
        <v>19.033368587493801</v>
      </c>
      <c r="F65" s="2">
        <f t="shared" si="0"/>
        <v>20.106299877166652</v>
      </c>
      <c r="G65" s="2">
        <v>100</v>
      </c>
      <c r="J65" s="7" t="s">
        <v>39</v>
      </c>
      <c r="K65">
        <v>0.41592848820783812</v>
      </c>
      <c r="L65">
        <v>1.4571073267194941</v>
      </c>
      <c r="M65">
        <v>32.746402965651598</v>
      </c>
    </row>
    <row r="66" spans="1:13" x14ac:dyDescent="0.45">
      <c r="A66" s="2" t="s">
        <v>11</v>
      </c>
      <c r="B66" s="2">
        <v>5</v>
      </c>
      <c r="C66" s="2">
        <v>0.160958766937255</v>
      </c>
      <c r="D66" s="2">
        <v>1.18627476692199</v>
      </c>
      <c r="E66" s="2">
        <v>30.687754154205301</v>
      </c>
      <c r="F66" s="2">
        <f t="shared" ref="F66:F91" si="1">SUM(C66:E66)</f>
        <v>32.034987688064547</v>
      </c>
      <c r="G66" s="2">
        <v>100</v>
      </c>
    </row>
    <row r="67" spans="1:13" x14ac:dyDescent="0.45">
      <c r="A67" s="2" t="s">
        <v>12</v>
      </c>
      <c r="B67" s="2">
        <v>5</v>
      </c>
      <c r="C67" s="2">
        <v>0.21292495727538999</v>
      </c>
      <c r="D67" s="2">
        <v>0.899586200714111</v>
      </c>
      <c r="E67" s="2">
        <v>24.460526943206698</v>
      </c>
      <c r="F67" s="2">
        <f t="shared" si="1"/>
        <v>25.5730381011962</v>
      </c>
      <c r="G67" s="2">
        <v>100</v>
      </c>
    </row>
    <row r="68" spans="1:13" x14ac:dyDescent="0.45">
      <c r="A68" s="2" t="s">
        <v>13</v>
      </c>
      <c r="B68" s="2">
        <v>5</v>
      </c>
      <c r="C68" s="2">
        <v>0.36927294731140098</v>
      </c>
      <c r="D68" s="2">
        <v>0.999891757965087</v>
      </c>
      <c r="E68" s="2">
        <v>19.115765094756998</v>
      </c>
      <c r="F68" s="2">
        <f t="shared" si="1"/>
        <v>20.484929800033488</v>
      </c>
      <c r="G68" s="2">
        <v>97</v>
      </c>
    </row>
    <row r="69" spans="1:13" x14ac:dyDescent="0.45">
      <c r="A69" s="2" t="s">
        <v>36</v>
      </c>
      <c r="B69" s="2">
        <v>5</v>
      </c>
      <c r="C69" s="2">
        <v>0.51916337013244596</v>
      </c>
      <c r="D69" s="2">
        <v>0.43178391456603998</v>
      </c>
      <c r="E69" s="2">
        <v>29.691148281097401</v>
      </c>
      <c r="F69" s="2">
        <f t="shared" si="1"/>
        <v>30.642095565795888</v>
      </c>
      <c r="G69" s="2">
        <v>100</v>
      </c>
    </row>
    <row r="70" spans="1:13" x14ac:dyDescent="0.45">
      <c r="A70" s="2" t="s">
        <v>14</v>
      </c>
      <c r="B70" s="2">
        <v>5</v>
      </c>
      <c r="C70" s="2">
        <v>0.79149770736694303</v>
      </c>
      <c r="D70" s="2">
        <v>1.34081578254699</v>
      </c>
      <c r="E70" s="2">
        <v>15.357177257537799</v>
      </c>
      <c r="F70" s="2">
        <f t="shared" si="1"/>
        <v>17.489490747451732</v>
      </c>
      <c r="G70" s="2">
        <v>100</v>
      </c>
    </row>
    <row r="71" spans="1:13" x14ac:dyDescent="0.45">
      <c r="A71" s="2" t="s">
        <v>15</v>
      </c>
      <c r="B71" s="2">
        <v>5</v>
      </c>
      <c r="C71" s="2">
        <v>0.13398647308349601</v>
      </c>
      <c r="D71" s="2">
        <v>0.83791470527648904</v>
      </c>
      <c r="E71" s="2">
        <v>23.672963380813599</v>
      </c>
      <c r="F71" s="2">
        <f t="shared" si="1"/>
        <v>24.644864559173584</v>
      </c>
      <c r="G71" s="2">
        <v>99</v>
      </c>
    </row>
    <row r="72" spans="1:13" x14ac:dyDescent="0.45">
      <c r="A72" s="2" t="s">
        <v>16</v>
      </c>
      <c r="B72" s="2">
        <v>5</v>
      </c>
      <c r="C72" s="2">
        <v>0.480142831802368</v>
      </c>
      <c r="D72" s="2">
        <v>0.44804191589355402</v>
      </c>
      <c r="E72" s="2">
        <v>44.357870340347198</v>
      </c>
      <c r="F72" s="2">
        <f t="shared" si="1"/>
        <v>45.286055088043121</v>
      </c>
      <c r="G72" s="2">
        <v>95</v>
      </c>
    </row>
    <row r="73" spans="1:13" x14ac:dyDescent="0.45">
      <c r="A73" s="2" t="s">
        <v>17</v>
      </c>
      <c r="B73" s="2">
        <v>5</v>
      </c>
      <c r="C73" s="2">
        <v>0.15931057929992601</v>
      </c>
      <c r="D73" s="2">
        <v>0.66685485839843694</v>
      </c>
      <c r="E73" s="2">
        <v>39.406790018081601</v>
      </c>
      <c r="F73" s="2">
        <f t="shared" si="1"/>
        <v>40.232955455779965</v>
      </c>
      <c r="G73" s="2">
        <v>95</v>
      </c>
    </row>
    <row r="74" spans="1:13" x14ac:dyDescent="0.45">
      <c r="A74" s="2" t="s">
        <v>18</v>
      </c>
      <c r="B74" s="2">
        <v>5</v>
      </c>
      <c r="C74" s="2">
        <v>0.70183968544006303</v>
      </c>
      <c r="D74" s="2">
        <v>1.149343252182</v>
      </c>
      <c r="E74" s="2">
        <v>34.1799829006195</v>
      </c>
      <c r="F74" s="2">
        <f t="shared" si="1"/>
        <v>36.031165838241563</v>
      </c>
      <c r="G74" s="2">
        <v>91</v>
      </c>
    </row>
    <row r="75" spans="1:13" x14ac:dyDescent="0.45">
      <c r="A75" s="2" t="s">
        <v>19</v>
      </c>
      <c r="B75" s="2">
        <v>5</v>
      </c>
      <c r="C75" s="2">
        <v>0.31197261810302701</v>
      </c>
      <c r="D75" s="2">
        <v>0.62954664230346602</v>
      </c>
      <c r="E75" s="2">
        <v>20.2769901752471</v>
      </c>
      <c r="F75" s="2">
        <f t="shared" si="1"/>
        <v>21.218509435653594</v>
      </c>
      <c r="G75" s="2">
        <v>95</v>
      </c>
    </row>
    <row r="76" spans="1:13" x14ac:dyDescent="0.45">
      <c r="A76" s="2" t="s">
        <v>20</v>
      </c>
      <c r="B76" s="2">
        <v>5</v>
      </c>
      <c r="C76" s="2">
        <v>2.2178678512573198</v>
      </c>
      <c r="D76" s="2">
        <v>1.8105092048645</v>
      </c>
      <c r="E76" s="2">
        <v>40.490180253982501</v>
      </c>
      <c r="F76" s="2">
        <f t="shared" si="1"/>
        <v>44.51855731010432</v>
      </c>
      <c r="G76" s="2">
        <v>99</v>
      </c>
    </row>
    <row r="77" spans="1:13" x14ac:dyDescent="0.45">
      <c r="A77" s="2" t="s">
        <v>35</v>
      </c>
      <c r="B77" s="2">
        <v>5</v>
      </c>
      <c r="C77" s="2">
        <v>0.50392794609069802</v>
      </c>
      <c r="D77" s="2">
        <v>1.45316314697265</v>
      </c>
      <c r="E77" s="2">
        <v>33.454960823058997</v>
      </c>
      <c r="F77" s="2">
        <f t="shared" si="1"/>
        <v>35.412051916122344</v>
      </c>
      <c r="G77" s="2">
        <v>95</v>
      </c>
    </row>
    <row r="78" spans="1:13" x14ac:dyDescent="0.45">
      <c r="A78" s="2" t="s">
        <v>21</v>
      </c>
      <c r="B78" s="2">
        <v>5</v>
      </c>
      <c r="C78" s="2">
        <v>0.35744810104370101</v>
      </c>
      <c r="D78" s="2">
        <v>0.92327857017517001</v>
      </c>
      <c r="E78" s="2">
        <v>34.658898115158003</v>
      </c>
      <c r="F78" s="2">
        <f t="shared" si="1"/>
        <v>35.939624786376875</v>
      </c>
      <c r="G78" s="2">
        <v>100</v>
      </c>
    </row>
    <row r="79" spans="1:13" x14ac:dyDescent="0.45">
      <c r="A79" s="2" t="s">
        <v>22</v>
      </c>
      <c r="B79" s="2">
        <v>5</v>
      </c>
      <c r="C79" s="2">
        <v>0.434858798980712</v>
      </c>
      <c r="D79" s="2">
        <v>0.740547895431518</v>
      </c>
      <c r="E79" s="2">
        <v>25.774289846420199</v>
      </c>
      <c r="F79" s="2">
        <f t="shared" si="1"/>
        <v>26.949696540832431</v>
      </c>
      <c r="G79" s="2">
        <v>100</v>
      </c>
      <c r="I79" s="6" t="s">
        <v>45</v>
      </c>
      <c r="J79" s="6" t="s">
        <v>44</v>
      </c>
    </row>
    <row r="80" spans="1:13" x14ac:dyDescent="0.45">
      <c r="A80" s="2" t="s">
        <v>23</v>
      </c>
      <c r="B80" s="2">
        <v>5</v>
      </c>
      <c r="C80" s="2">
        <v>0.261760473251342</v>
      </c>
      <c r="D80" s="2">
        <v>0.481359243392944</v>
      </c>
      <c r="E80" s="2">
        <v>26.961925745010301</v>
      </c>
      <c r="F80" s="2">
        <f t="shared" si="1"/>
        <v>27.705045461654588</v>
      </c>
      <c r="G80" s="2">
        <v>99</v>
      </c>
      <c r="I80" s="6" t="s">
        <v>38</v>
      </c>
      <c r="J80">
        <v>3</v>
      </c>
      <c r="K80">
        <v>4</v>
      </c>
      <c r="L80">
        <v>5</v>
      </c>
      <c r="M80" t="s">
        <v>39</v>
      </c>
    </row>
    <row r="81" spans="1:13" x14ac:dyDescent="0.45">
      <c r="A81" s="2" t="s">
        <v>24</v>
      </c>
      <c r="B81" s="2">
        <v>5</v>
      </c>
      <c r="C81" s="2">
        <v>0.223819494247436</v>
      </c>
      <c r="D81" s="2">
        <v>0.91202974319457997</v>
      </c>
      <c r="E81" s="2">
        <v>20.4235146045684</v>
      </c>
      <c r="F81" s="2">
        <f t="shared" si="1"/>
        <v>21.559363842010416</v>
      </c>
      <c r="G81" s="2">
        <v>97</v>
      </c>
      <c r="I81" s="7" t="s">
        <v>34</v>
      </c>
      <c r="J81">
        <v>98</v>
      </c>
      <c r="K81">
        <v>97</v>
      </c>
      <c r="L81">
        <v>99</v>
      </c>
      <c r="M81">
        <v>98</v>
      </c>
    </row>
    <row r="82" spans="1:13" ht="28.15" x14ac:dyDescent="0.45">
      <c r="A82" s="3" t="s">
        <v>25</v>
      </c>
      <c r="B82" s="2">
        <v>5</v>
      </c>
      <c r="C82" s="2">
        <v>0.29630303382873502</v>
      </c>
      <c r="D82" s="2">
        <v>0.51988101005554199</v>
      </c>
      <c r="E82" s="2">
        <v>72.785242080688406</v>
      </c>
      <c r="F82" s="2">
        <f t="shared" si="1"/>
        <v>73.601426124572683</v>
      </c>
      <c r="G82" s="2">
        <v>94</v>
      </c>
      <c r="I82" s="7" t="s">
        <v>35</v>
      </c>
      <c r="J82">
        <v>93</v>
      </c>
      <c r="K82">
        <v>91</v>
      </c>
      <c r="L82">
        <v>95</v>
      </c>
      <c r="M82">
        <v>93</v>
      </c>
    </row>
    <row r="83" spans="1:13" x14ac:dyDescent="0.45">
      <c r="A83" s="2" t="s">
        <v>26</v>
      </c>
      <c r="B83" s="2">
        <v>5</v>
      </c>
      <c r="C83" s="2">
        <v>0.45346951484680098</v>
      </c>
      <c r="D83" s="2">
        <v>0.52118682861328103</v>
      </c>
      <c r="E83" s="2">
        <v>52.101027011871302</v>
      </c>
      <c r="F83" s="2">
        <f t="shared" si="1"/>
        <v>53.075683355331385</v>
      </c>
      <c r="G83" s="2">
        <v>98</v>
      </c>
      <c r="I83" s="7" t="s">
        <v>25</v>
      </c>
      <c r="J83">
        <v>82</v>
      </c>
      <c r="K83">
        <v>90</v>
      </c>
      <c r="L83">
        <v>94</v>
      </c>
      <c r="M83">
        <v>88.666666666666671</v>
      </c>
    </row>
    <row r="84" spans="1:13" x14ac:dyDescent="0.45">
      <c r="A84" s="2" t="s">
        <v>27</v>
      </c>
      <c r="B84" s="2">
        <v>5</v>
      </c>
      <c r="C84" s="2">
        <v>0.30866837501525801</v>
      </c>
      <c r="D84" s="2">
        <v>0.49909210205078097</v>
      </c>
      <c r="E84" s="2">
        <v>41.963689327239898</v>
      </c>
      <c r="F84" s="2">
        <f t="shared" si="1"/>
        <v>42.771449804305938</v>
      </c>
      <c r="G84" s="2">
        <v>96</v>
      </c>
      <c r="I84" s="7" t="s">
        <v>32</v>
      </c>
      <c r="J84">
        <v>99</v>
      </c>
      <c r="K84">
        <v>98</v>
      </c>
      <c r="L84">
        <v>83</v>
      </c>
      <c r="M84">
        <v>93.333333333333329</v>
      </c>
    </row>
    <row r="85" spans="1:13" x14ac:dyDescent="0.45">
      <c r="A85" s="2" t="s">
        <v>28</v>
      </c>
      <c r="B85" s="2">
        <v>5</v>
      </c>
      <c r="C85" s="2">
        <v>0.23363304138183499</v>
      </c>
      <c r="D85" s="2">
        <v>0.48041272163391102</v>
      </c>
      <c r="E85" s="2">
        <v>30.037773847579899</v>
      </c>
      <c r="F85" s="2">
        <f t="shared" si="1"/>
        <v>30.751819610595646</v>
      </c>
      <c r="G85" s="2">
        <v>98</v>
      </c>
      <c r="I85" s="7" t="s">
        <v>20</v>
      </c>
      <c r="J85">
        <v>99</v>
      </c>
      <c r="K85">
        <v>99</v>
      </c>
      <c r="L85">
        <v>99</v>
      </c>
      <c r="M85">
        <v>99</v>
      </c>
    </row>
    <row r="86" spans="1:13" ht="27.75" x14ac:dyDescent="0.45">
      <c r="A86" s="4" t="s">
        <v>29</v>
      </c>
      <c r="B86" s="2">
        <v>5</v>
      </c>
      <c r="C86" s="2">
        <v>0.23666572570800701</v>
      </c>
      <c r="D86" s="2">
        <v>1.9764037132263099</v>
      </c>
      <c r="E86" s="2">
        <v>20.688587903976401</v>
      </c>
      <c r="F86" s="2">
        <f t="shared" si="1"/>
        <v>22.901657342910717</v>
      </c>
      <c r="G86" s="2">
        <v>97</v>
      </c>
      <c r="I86" s="7" t="s">
        <v>33</v>
      </c>
      <c r="J86">
        <v>78</v>
      </c>
      <c r="K86">
        <v>97</v>
      </c>
      <c r="L86">
        <v>97</v>
      </c>
      <c r="M86">
        <v>90.666666666666671</v>
      </c>
    </row>
    <row r="87" spans="1:13" x14ac:dyDescent="0.45">
      <c r="A87" s="2" t="s">
        <v>30</v>
      </c>
      <c r="B87" s="2">
        <v>5</v>
      </c>
      <c r="C87" s="2">
        <v>0.20624446868896401</v>
      </c>
      <c r="D87" s="2">
        <v>0.71775197982787997</v>
      </c>
      <c r="E87" s="2">
        <v>35.816544055938699</v>
      </c>
      <c r="F87" s="2">
        <f t="shared" si="1"/>
        <v>36.740540504455545</v>
      </c>
      <c r="G87" s="2">
        <v>98</v>
      </c>
      <c r="I87" s="7" t="s">
        <v>22</v>
      </c>
      <c r="J87">
        <v>81</v>
      </c>
      <c r="K87">
        <v>99</v>
      </c>
      <c r="L87">
        <v>100</v>
      </c>
      <c r="M87">
        <v>93.333333333333329</v>
      </c>
    </row>
    <row r="88" spans="1:13" x14ac:dyDescent="0.45">
      <c r="A88" s="2" t="s">
        <v>31</v>
      </c>
      <c r="B88" s="2">
        <v>5</v>
      </c>
      <c r="C88" s="2">
        <v>0.23593854904174799</v>
      </c>
      <c r="D88" s="2">
        <v>0.955738306045532</v>
      </c>
      <c r="E88" s="2">
        <v>75.445142745971594</v>
      </c>
      <c r="F88" s="2">
        <f t="shared" si="1"/>
        <v>76.636819601058875</v>
      </c>
      <c r="G88" s="2">
        <v>97</v>
      </c>
      <c r="I88" s="7" t="s">
        <v>31</v>
      </c>
      <c r="J88">
        <v>78</v>
      </c>
      <c r="K88">
        <v>94</v>
      </c>
      <c r="L88">
        <v>97</v>
      </c>
      <c r="M88">
        <v>89.666666666666671</v>
      </c>
    </row>
    <row r="89" spans="1:13" x14ac:dyDescent="0.45">
      <c r="A89" s="2" t="s">
        <v>32</v>
      </c>
      <c r="B89" s="2">
        <v>5</v>
      </c>
      <c r="C89" s="2">
        <v>0.62325239181518499</v>
      </c>
      <c r="D89" s="2">
        <v>0.48885726928710899</v>
      </c>
      <c r="E89" s="2">
        <v>39.287507057189899</v>
      </c>
      <c r="F89" s="2">
        <f t="shared" si="1"/>
        <v>40.399616718292194</v>
      </c>
      <c r="G89" s="2">
        <v>83</v>
      </c>
      <c r="I89" s="7" t="s">
        <v>16</v>
      </c>
      <c r="J89">
        <v>82</v>
      </c>
      <c r="K89">
        <v>92</v>
      </c>
      <c r="L89">
        <v>95</v>
      </c>
      <c r="M89">
        <v>89.666666666666671</v>
      </c>
    </row>
    <row r="90" spans="1:13" ht="27.75" x14ac:dyDescent="0.45">
      <c r="A90" s="4" t="s">
        <v>33</v>
      </c>
      <c r="B90" s="2">
        <v>5</v>
      </c>
      <c r="C90" s="2">
        <v>0.26319527626037598</v>
      </c>
      <c r="D90" s="2">
        <v>0.87978267669677701</v>
      </c>
      <c r="E90" s="2">
        <v>68.081623077392507</v>
      </c>
      <c r="F90" s="2">
        <f t="shared" si="1"/>
        <v>69.22460103034966</v>
      </c>
      <c r="G90" s="2">
        <v>97</v>
      </c>
      <c r="I90" s="7" t="s">
        <v>28</v>
      </c>
      <c r="J90">
        <v>97</v>
      </c>
      <c r="K90">
        <v>97</v>
      </c>
      <c r="L90">
        <v>98</v>
      </c>
      <c r="M90">
        <v>97.333333333333329</v>
      </c>
    </row>
    <row r="91" spans="1:13" x14ac:dyDescent="0.45">
      <c r="A91" s="2" t="s">
        <v>34</v>
      </c>
      <c r="B91" s="2">
        <v>5</v>
      </c>
      <c r="C91" s="2">
        <v>0.91151380538940396</v>
      </c>
      <c r="D91" s="2">
        <v>1.2687749862670801</v>
      </c>
      <c r="E91" s="2">
        <v>36.0778806209564</v>
      </c>
      <c r="F91" s="2">
        <f t="shared" si="1"/>
        <v>38.258169412612887</v>
      </c>
      <c r="G91" s="2">
        <v>99</v>
      </c>
      <c r="I91" s="7" t="s">
        <v>14</v>
      </c>
      <c r="J91">
        <v>100</v>
      </c>
      <c r="K91">
        <v>100</v>
      </c>
      <c r="L91">
        <v>100</v>
      </c>
      <c r="M91">
        <v>100</v>
      </c>
    </row>
    <row r="92" spans="1:13" x14ac:dyDescent="0.45">
      <c r="I92" s="7" t="s">
        <v>19</v>
      </c>
      <c r="J92">
        <v>94</v>
      </c>
      <c r="K92">
        <v>97</v>
      </c>
      <c r="L92">
        <v>95</v>
      </c>
      <c r="M92">
        <v>95.333333333333329</v>
      </c>
    </row>
    <row r="93" spans="1:13" x14ac:dyDescent="0.45">
      <c r="I93" s="7" t="s">
        <v>27</v>
      </c>
      <c r="J93">
        <v>96</v>
      </c>
      <c r="K93">
        <v>95</v>
      </c>
      <c r="L93">
        <v>96</v>
      </c>
      <c r="M93">
        <v>95.666666666666671</v>
      </c>
    </row>
    <row r="94" spans="1:13" x14ac:dyDescent="0.45">
      <c r="I94" s="7" t="s">
        <v>17</v>
      </c>
      <c r="J94">
        <v>99</v>
      </c>
      <c r="K94">
        <v>100</v>
      </c>
      <c r="L94">
        <v>95</v>
      </c>
      <c r="M94">
        <v>98</v>
      </c>
    </row>
    <row r="95" spans="1:13" x14ac:dyDescent="0.45">
      <c r="I95" s="7" t="s">
        <v>30</v>
      </c>
      <c r="J95">
        <v>80</v>
      </c>
      <c r="K95">
        <v>94</v>
      </c>
      <c r="L95">
        <v>98</v>
      </c>
      <c r="M95">
        <v>90.666666666666671</v>
      </c>
    </row>
    <row r="96" spans="1:13" x14ac:dyDescent="0.45">
      <c r="I96" s="7" t="s">
        <v>9</v>
      </c>
      <c r="J96">
        <v>98</v>
      </c>
      <c r="K96">
        <v>100</v>
      </c>
      <c r="L96">
        <v>99</v>
      </c>
      <c r="M96">
        <v>99</v>
      </c>
    </row>
    <row r="97" spans="9:13" x14ac:dyDescent="0.45">
      <c r="I97" s="7" t="s">
        <v>29</v>
      </c>
      <c r="J97">
        <v>87</v>
      </c>
      <c r="K97">
        <v>100</v>
      </c>
      <c r="L97">
        <v>97</v>
      </c>
      <c r="M97">
        <v>94.666666666666671</v>
      </c>
    </row>
    <row r="98" spans="9:13" x14ac:dyDescent="0.45">
      <c r="I98" s="7" t="s">
        <v>26</v>
      </c>
      <c r="J98">
        <v>97</v>
      </c>
      <c r="K98">
        <v>98</v>
      </c>
      <c r="L98">
        <v>98</v>
      </c>
      <c r="M98">
        <v>97.666666666666671</v>
      </c>
    </row>
    <row r="99" spans="9:13" x14ac:dyDescent="0.45">
      <c r="I99" s="7" t="s">
        <v>11</v>
      </c>
      <c r="J99">
        <v>97</v>
      </c>
      <c r="K99">
        <v>99</v>
      </c>
      <c r="L99">
        <v>100</v>
      </c>
      <c r="M99">
        <v>98.666666666666671</v>
      </c>
    </row>
    <row r="100" spans="9:13" x14ac:dyDescent="0.45">
      <c r="I100" s="7" t="s">
        <v>7</v>
      </c>
      <c r="J100">
        <v>14</v>
      </c>
      <c r="K100">
        <v>43</v>
      </c>
      <c r="L100">
        <v>44</v>
      </c>
      <c r="M100">
        <v>33.666666666666664</v>
      </c>
    </row>
    <row r="101" spans="9:13" x14ac:dyDescent="0.45">
      <c r="I101" s="7" t="s">
        <v>18</v>
      </c>
      <c r="J101">
        <v>92</v>
      </c>
      <c r="K101">
        <v>97</v>
      </c>
      <c r="L101">
        <v>91</v>
      </c>
      <c r="M101">
        <v>93.333333333333329</v>
      </c>
    </row>
    <row r="102" spans="9:13" x14ac:dyDescent="0.45">
      <c r="I102" s="7" t="s">
        <v>10</v>
      </c>
      <c r="J102">
        <v>100</v>
      </c>
      <c r="K102">
        <v>93</v>
      </c>
      <c r="L102">
        <v>100</v>
      </c>
      <c r="M102">
        <v>97.666666666666671</v>
      </c>
    </row>
    <row r="103" spans="9:13" x14ac:dyDescent="0.45">
      <c r="I103" s="7" t="s">
        <v>15</v>
      </c>
      <c r="J103">
        <v>99</v>
      </c>
      <c r="K103">
        <v>100</v>
      </c>
      <c r="L103">
        <v>99</v>
      </c>
      <c r="M103">
        <v>99.333333333333329</v>
      </c>
    </row>
    <row r="104" spans="9:13" x14ac:dyDescent="0.45">
      <c r="I104" s="7" t="s">
        <v>13</v>
      </c>
      <c r="J104">
        <v>96</v>
      </c>
      <c r="K104">
        <v>100</v>
      </c>
      <c r="L104">
        <v>97</v>
      </c>
      <c r="M104">
        <v>97.666666666666671</v>
      </c>
    </row>
    <row r="105" spans="9:13" x14ac:dyDescent="0.45">
      <c r="I105" s="7" t="s">
        <v>24</v>
      </c>
      <c r="J105">
        <v>98</v>
      </c>
      <c r="K105">
        <v>99</v>
      </c>
      <c r="L105">
        <v>97</v>
      </c>
      <c r="M105">
        <v>98</v>
      </c>
    </row>
    <row r="106" spans="9:13" x14ac:dyDescent="0.45">
      <c r="I106" s="7" t="s">
        <v>12</v>
      </c>
      <c r="J106">
        <v>100</v>
      </c>
      <c r="K106">
        <v>96</v>
      </c>
      <c r="L106">
        <v>100</v>
      </c>
      <c r="M106">
        <v>98.666666666666671</v>
      </c>
    </row>
    <row r="107" spans="9:13" x14ac:dyDescent="0.45">
      <c r="I107" s="7" t="s">
        <v>21</v>
      </c>
      <c r="J107">
        <v>98</v>
      </c>
      <c r="K107">
        <v>94</v>
      </c>
      <c r="L107">
        <v>100</v>
      </c>
      <c r="M107">
        <v>97.333333333333329</v>
      </c>
    </row>
    <row r="108" spans="9:13" x14ac:dyDescent="0.45">
      <c r="I108" s="7" t="s">
        <v>8</v>
      </c>
      <c r="J108">
        <v>96</v>
      </c>
      <c r="K108">
        <v>99</v>
      </c>
      <c r="L108">
        <v>99</v>
      </c>
      <c r="M108">
        <v>98</v>
      </c>
    </row>
    <row r="109" spans="9:13" x14ac:dyDescent="0.45">
      <c r="I109" s="7" t="s">
        <v>23</v>
      </c>
      <c r="J109">
        <v>23</v>
      </c>
      <c r="K109">
        <v>98</v>
      </c>
      <c r="L109">
        <v>99</v>
      </c>
      <c r="M109">
        <v>73.333333333333329</v>
      </c>
    </row>
    <row r="110" spans="9:13" x14ac:dyDescent="0.45">
      <c r="I110" s="7" t="s">
        <v>36</v>
      </c>
      <c r="J110">
        <v>99</v>
      </c>
      <c r="K110">
        <v>98</v>
      </c>
      <c r="L110">
        <v>100</v>
      </c>
      <c r="M110">
        <v>99</v>
      </c>
    </row>
    <row r="111" spans="9:13" x14ac:dyDescent="0.45">
      <c r="I111" s="7" t="s">
        <v>39</v>
      </c>
      <c r="J111">
        <v>88.333333333333329</v>
      </c>
      <c r="K111">
        <v>95.13333333333334</v>
      </c>
      <c r="L111">
        <v>95.36666666666666</v>
      </c>
      <c r="M111">
        <v>92.944444444444443</v>
      </c>
    </row>
  </sheetData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 Muthukumar</dc:creator>
  <cp:lastModifiedBy>Kavitha Muthukumar</cp:lastModifiedBy>
  <dcterms:created xsi:type="dcterms:W3CDTF">2026-07-02T08:52:50Z</dcterms:created>
  <dcterms:modified xsi:type="dcterms:W3CDTF">2026-08-03T13:47:00Z</dcterms:modified>
</cp:coreProperties>
</file>